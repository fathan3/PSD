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Hasil" sheetId="1" state="visible" r:id="rId1"/>
    <sheet xmlns:r="http://schemas.openxmlformats.org/officeDocument/2006/relationships" name="Manual_CO" sheetId="2" state="visible" r:id="rId2"/>
    <sheet xmlns:r="http://schemas.openxmlformats.org/officeDocument/2006/relationships" name="Manual_NO2" sheetId="3" state="visible" r:id="rId3"/>
    <sheet xmlns:r="http://schemas.openxmlformats.org/officeDocument/2006/relationships" name="Manual_O3" sheetId="4" state="visible" r:id="rId4"/>
    <sheet xmlns:r="http://schemas.openxmlformats.org/officeDocument/2006/relationships" name="Manual_SO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  <color rgb="002980B9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Polutan</t>
        </is>
      </c>
      <c r="B1" s="1" t="inlineStr">
        <is>
          <t>Count (n)</t>
        </is>
      </c>
      <c r="C1" s="1" t="inlineStr">
        <is>
          <t>Mean</t>
        </is>
      </c>
      <c r="D1" s="1" t="inlineStr">
        <is>
          <t>Variansi</t>
        </is>
      </c>
      <c r="E1" s="1" t="inlineStr">
        <is>
          <t>Std Deviasi</t>
        </is>
      </c>
      <c r="F1" s="1" t="inlineStr">
        <is>
          <t>Skewness</t>
        </is>
      </c>
      <c r="G1" s="1" t="inlineStr">
        <is>
          <t>Kurtosis</t>
        </is>
      </c>
    </row>
    <row r="2">
      <c r="A2" s="2" t="inlineStr">
        <is>
          <t>CO</t>
        </is>
      </c>
      <c r="B2" s="2">
        <f>'Manual_CO'!J2</f>
        <v/>
      </c>
      <c r="C2" s="2">
        <f>'Manual_CO'!J3</f>
        <v/>
      </c>
      <c r="D2" s="2">
        <f>'Manual_CO'!J4</f>
        <v/>
      </c>
      <c r="E2" s="2">
        <f>'Manual_CO'!J5</f>
        <v/>
      </c>
      <c r="F2" s="2">
        <f>'Manual_CO'!J8</f>
        <v/>
      </c>
      <c r="G2" s="2">
        <f>'Manual_CO'!J9</f>
        <v/>
      </c>
    </row>
    <row r="3">
      <c r="A3" s="2" t="inlineStr">
        <is>
          <t>NO2</t>
        </is>
      </c>
      <c r="B3" s="2">
        <f>'Manual_NO2'!J2</f>
        <v/>
      </c>
      <c r="C3" s="2">
        <f>'Manual_NO2'!J3</f>
        <v/>
      </c>
      <c r="D3" s="2">
        <f>'Manual_NO2'!J4</f>
        <v/>
      </c>
      <c r="E3" s="2">
        <f>'Manual_NO2'!J5</f>
        <v/>
      </c>
      <c r="F3" s="2">
        <f>'Manual_NO2'!J8</f>
        <v/>
      </c>
      <c r="G3" s="2">
        <f>'Manual_NO2'!J9</f>
        <v/>
      </c>
    </row>
    <row r="4">
      <c r="A4" s="2" t="inlineStr">
        <is>
          <t>O3</t>
        </is>
      </c>
      <c r="B4" s="2">
        <f>'Manual_O3'!J2</f>
        <v/>
      </c>
      <c r="C4" s="2">
        <f>'Manual_O3'!J3</f>
        <v/>
      </c>
      <c r="D4" s="2">
        <f>'Manual_O3'!J4</f>
        <v/>
      </c>
      <c r="E4" s="2">
        <f>'Manual_O3'!J5</f>
        <v/>
      </c>
      <c r="F4" s="2">
        <f>'Manual_O3'!J8</f>
        <v/>
      </c>
      <c r="G4" s="2">
        <f>'Manual_O3'!J9</f>
        <v/>
      </c>
    </row>
    <row r="5">
      <c r="A5" s="2" t="inlineStr">
        <is>
          <t>SO2</t>
        </is>
      </c>
      <c r="B5" s="2">
        <f>'Manual_SO2'!J2</f>
        <v/>
      </c>
      <c r="C5" s="2">
        <f>'Manual_SO2'!J3</f>
        <v/>
      </c>
      <c r="D5" s="2">
        <f>'Manual_SO2'!J4</f>
        <v/>
      </c>
      <c r="E5" s="2">
        <f>'Manual_SO2'!J5</f>
        <v/>
      </c>
      <c r="F5" s="2">
        <f>'Manual_SO2'!J8</f>
        <v/>
      </c>
      <c r="G5" s="2">
        <f>'Manual_SO2'!J9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1" customWidth="1" min="4" max="4"/>
    <col width="11" customWidth="1" min="5" max="5"/>
    <col width="18" customWidth="1" min="6" max="6"/>
    <col width="18" customWidth="1" min="7" max="7"/>
    <col width="2" customWidth="1" min="8" max="8"/>
    <col width="23" customWidth="1" min="9" max="9"/>
    <col width="25" customWidth="1" min="10" max="10"/>
  </cols>
  <sheetData>
    <row r="1">
      <c r="A1" s="3" t="inlineStr">
        <is>
          <t>Perhitungan Manual Statistik Polutan: CO</t>
        </is>
      </c>
    </row>
    <row r="2">
      <c r="I2" s="4" t="inlineStr">
        <is>
          <t>Count (n)</t>
        </is>
      </c>
      <c r="J2" s="5">
        <f>COUNT(B12:B209)</f>
        <v/>
      </c>
    </row>
    <row r="3">
      <c r="I3" s="4" t="inlineStr">
        <is>
          <t>Mean (x̄)</t>
        </is>
      </c>
      <c r="J3" s="5">
        <f>AVERAGE(B12:B209)</f>
        <v/>
      </c>
    </row>
    <row r="4">
      <c r="I4" s="4" t="inlineStr">
        <is>
          <t>Variansi (s²)</t>
        </is>
      </c>
      <c r="J4" s="5">
        <f>SUM(D12:D209) / (J2 - 1)</f>
        <v/>
      </c>
    </row>
    <row r="5">
      <c r="I5" s="4" t="inlineStr">
        <is>
          <t>Std Deviasi (s)</t>
        </is>
      </c>
      <c r="J5" s="5">
        <f>SQRT(J4)</f>
        <v/>
      </c>
    </row>
    <row r="6">
      <c r="I6" s="4" t="inlineStr">
        <is>
          <t>Sum ((x - x̄)/s)³</t>
        </is>
      </c>
      <c r="J6" s="5">
        <f>SUM(F12:F209)</f>
        <v/>
      </c>
    </row>
    <row r="7">
      <c r="I7" s="4" t="inlineStr">
        <is>
          <t>Sum ((x - x̄)/s)⁴</t>
        </is>
      </c>
      <c r="J7" s="5">
        <f>SUM(G12:G209)</f>
        <v/>
      </c>
    </row>
    <row r="8">
      <c r="I8" s="4" t="inlineStr">
        <is>
          <t>Skewness (Manual)</t>
        </is>
      </c>
      <c r="J8" s="5">
        <f>(J2 / ((J2 - 1) * (J2 - 2))) * J6</f>
        <v/>
      </c>
    </row>
    <row r="9">
      <c r="I9" s="4" t="inlineStr">
        <is>
          <t>Kurtosis (Manual)</t>
        </is>
      </c>
      <c r="J9" s="5">
        <f>(J2 * (J2 + 1) / ((J2 - 1) * (J2 - 2) * (J2 - 3))) * J7 - (3 * (J2 - 1)^2 / ((J2 - 2) * (J2 - 3)))</f>
        <v/>
      </c>
    </row>
    <row r="10">
      <c r="I10" s="4" t="inlineStr">
        <is>
          <t>Excel SKEW (Validasi)</t>
        </is>
      </c>
      <c r="J10" s="6">
        <f>SKEW(B12:B209)</f>
        <v/>
      </c>
    </row>
    <row r="11">
      <c r="A11" s="1" t="inlineStr">
        <is>
          <t>Date</t>
        </is>
      </c>
      <c r="B11" s="1" t="inlineStr">
        <is>
          <t>x (Nilai Polutan)</t>
        </is>
      </c>
      <c r="C11" s="1" t="inlineStr">
        <is>
          <t>Deviasi (x - x̄)</t>
        </is>
      </c>
      <c r="D11" s="1" t="inlineStr">
        <is>
          <t>(x - x̄)²</t>
        </is>
      </c>
      <c r="E11" s="1" t="inlineStr">
        <is>
          <t>(x - x̄)³</t>
        </is>
      </c>
      <c r="F11" s="1" t="inlineStr">
        <is>
          <t>((x - x̄)/s)³</t>
        </is>
      </c>
      <c r="G11" s="1" t="inlineStr">
        <is>
          <t>((x - x̄)/s)⁴</t>
        </is>
      </c>
      <c r="I11" s="4" t="inlineStr">
        <is>
          <t>Excel KURT (Validasi)</t>
        </is>
      </c>
      <c r="J11" s="6">
        <f>KURT(B12:B209)</f>
        <v/>
      </c>
    </row>
    <row r="12">
      <c r="A12" s="7" t="inlineStr">
        <is>
          <t>2025-08-27</t>
        </is>
      </c>
      <c r="B12" s="2" t="n">
        <v>0.0370786562561988</v>
      </c>
      <c r="C12" s="2">
        <f>B12 - $J$3</f>
        <v/>
      </c>
      <c r="D12" s="2">
        <f>C12^2</f>
        <v/>
      </c>
      <c r="E12" s="2">
        <f>C12^3</f>
        <v/>
      </c>
      <c r="F12" s="2">
        <f>(C12 / $J$5)^3</f>
        <v/>
      </c>
      <c r="G12" s="2">
        <f>(C12 / $J$5)^4</f>
        <v/>
      </c>
    </row>
    <row r="13">
      <c r="A13" s="7" t="inlineStr">
        <is>
          <t>2025-08-30</t>
        </is>
      </c>
      <c r="B13" s="2" t="n">
        <v>0.0329154320061206</v>
      </c>
      <c r="C13" s="2">
        <f>B13 - $J$3</f>
        <v/>
      </c>
      <c r="D13" s="2">
        <f>C13^2</f>
        <v/>
      </c>
      <c r="E13" s="2">
        <f>C13^3</f>
        <v/>
      </c>
      <c r="F13" s="2">
        <f>(C13 / $J$5)^3</f>
        <v/>
      </c>
      <c r="G13" s="2">
        <f>(C13 / $J$5)^4</f>
        <v/>
      </c>
    </row>
    <row r="14">
      <c r="A14" s="7" t="inlineStr">
        <is>
          <t>2025-09-02</t>
        </is>
      </c>
      <c r="B14" s="2" t="n">
        <v>0.0270471461117267</v>
      </c>
      <c r="C14" s="2">
        <f>B14 - $J$3</f>
        <v/>
      </c>
      <c r="D14" s="2">
        <f>C14^2</f>
        <v/>
      </c>
      <c r="E14" s="2">
        <f>C14^3</f>
        <v/>
      </c>
      <c r="F14" s="2">
        <f>(C14 / $J$5)^3</f>
        <v/>
      </c>
      <c r="G14" s="2">
        <f>(C14 / $J$5)^4</f>
        <v/>
      </c>
    </row>
    <row r="15">
      <c r="A15" s="7" t="inlineStr">
        <is>
          <t>2025-09-03</t>
        </is>
      </c>
      <c r="B15" s="2" t="n">
        <v>0.0303074494004249</v>
      </c>
      <c r="C15" s="2">
        <f>B15 - $J$3</f>
        <v/>
      </c>
      <c r="D15" s="2">
        <f>C15^2</f>
        <v/>
      </c>
      <c r="E15" s="2">
        <f>C15^3</f>
        <v/>
      </c>
      <c r="F15" s="2">
        <f>(C15 / $J$5)^3</f>
        <v/>
      </c>
      <c r="G15" s="2">
        <f>(C15 / $J$5)^4</f>
        <v/>
      </c>
    </row>
    <row r="16">
      <c r="A16" s="7" t="inlineStr">
        <is>
          <t>2025-09-06</t>
        </is>
      </c>
      <c r="B16" s="2" t="n">
        <v>0.0273972153663635</v>
      </c>
      <c r="C16" s="2">
        <f>B16 - $J$3</f>
        <v/>
      </c>
      <c r="D16" s="2">
        <f>C16^2</f>
        <v/>
      </c>
      <c r="E16" s="2">
        <f>C16^3</f>
        <v/>
      </c>
      <c r="F16" s="2">
        <f>(C16 / $J$5)^3</f>
        <v/>
      </c>
      <c r="G16" s="2">
        <f>(C16 / $J$5)^4</f>
        <v/>
      </c>
    </row>
    <row r="17">
      <c r="A17" s="7" t="inlineStr">
        <is>
          <t>2025-09-09</t>
        </is>
      </c>
      <c r="B17" s="2" t="n">
        <v>0.0334745235741138</v>
      </c>
      <c r="C17" s="2">
        <f>B17 - $J$3</f>
        <v/>
      </c>
      <c r="D17" s="2">
        <f>C17^2</f>
        <v/>
      </c>
      <c r="E17" s="2">
        <f>C17^3</f>
        <v/>
      </c>
      <c r="F17" s="2">
        <f>(C17 / $J$5)^3</f>
        <v/>
      </c>
      <c r="G17" s="2">
        <f>(C17 / $J$5)^4</f>
        <v/>
      </c>
    </row>
    <row r="18">
      <c r="A18" s="7" t="inlineStr">
        <is>
          <t>2025-09-11</t>
        </is>
      </c>
      <c r="B18" s="2" t="n">
        <v>0.0340401791036129</v>
      </c>
      <c r="C18" s="2">
        <f>B18 - $J$3</f>
        <v/>
      </c>
      <c r="D18" s="2">
        <f>C18^2</f>
        <v/>
      </c>
      <c r="E18" s="2">
        <f>C18^3</f>
        <v/>
      </c>
      <c r="F18" s="2">
        <f>(C18 / $J$5)^3</f>
        <v/>
      </c>
      <c r="G18" s="2">
        <f>(C18 / $J$5)^4</f>
        <v/>
      </c>
    </row>
    <row r="19">
      <c r="A19" s="7" t="inlineStr">
        <is>
          <t>2025-09-13</t>
        </is>
      </c>
      <c r="B19" s="2" t="n">
        <v>0.0335459969937801</v>
      </c>
      <c r="C19" s="2">
        <f>B19 - $J$3</f>
        <v/>
      </c>
      <c r="D19" s="2">
        <f>C19^2</f>
        <v/>
      </c>
      <c r="E19" s="2">
        <f>C19^3</f>
        <v/>
      </c>
      <c r="F19" s="2">
        <f>(C19 / $J$5)^3</f>
        <v/>
      </c>
      <c r="G19" s="2">
        <f>(C19 / $J$5)^4</f>
        <v/>
      </c>
    </row>
    <row r="20">
      <c r="A20" s="7" t="inlineStr">
        <is>
          <t>2025-09-15</t>
        </is>
      </c>
      <c r="B20" s="2" t="n">
        <v>0.0257551744580268</v>
      </c>
      <c r="C20" s="2">
        <f>B20 - $J$3</f>
        <v/>
      </c>
      <c r="D20" s="2">
        <f>C20^2</f>
        <v/>
      </c>
      <c r="E20" s="2">
        <f>C20^3</f>
        <v/>
      </c>
      <c r="F20" s="2">
        <f>(C20 / $J$5)^3</f>
        <v/>
      </c>
      <c r="G20" s="2">
        <f>(C20 / $J$5)^4</f>
        <v/>
      </c>
    </row>
    <row r="21">
      <c r="A21" s="7" t="inlineStr">
        <is>
          <t>2025-09-16</t>
        </is>
      </c>
      <c r="B21" s="2" t="n">
        <v>0.0234757009893655</v>
      </c>
      <c r="C21" s="2">
        <f>B21 - $J$3</f>
        <v/>
      </c>
      <c r="D21" s="2">
        <f>C21^2</f>
        <v/>
      </c>
      <c r="E21" s="2">
        <f>C21^3</f>
        <v/>
      </c>
      <c r="F21" s="2">
        <f>(C21 / $J$5)^3</f>
        <v/>
      </c>
      <c r="G21" s="2">
        <f>(C21 / $J$5)^4</f>
        <v/>
      </c>
    </row>
    <row r="22">
      <c r="A22" s="7" t="inlineStr">
        <is>
          <t>2025-09-18</t>
        </is>
      </c>
      <c r="B22" s="2" t="n">
        <v>0.0323235094547271</v>
      </c>
      <c r="C22" s="2">
        <f>B22 - $J$3</f>
        <v/>
      </c>
      <c r="D22" s="2">
        <f>C22^2</f>
        <v/>
      </c>
      <c r="E22" s="2">
        <f>C22^3</f>
        <v/>
      </c>
      <c r="F22" s="2">
        <f>(C22 / $J$5)^3</f>
        <v/>
      </c>
      <c r="G22" s="2">
        <f>(C22 / $J$5)^4</f>
        <v/>
      </c>
    </row>
    <row r="23">
      <c r="A23" s="7" t="inlineStr">
        <is>
          <t>2025-09-19</t>
        </is>
      </c>
      <c r="B23" s="2" t="n">
        <v>0.0284370966255664</v>
      </c>
      <c r="C23" s="2">
        <f>B23 - $J$3</f>
        <v/>
      </c>
      <c r="D23" s="2">
        <f>C23^2</f>
        <v/>
      </c>
      <c r="E23" s="2">
        <f>C23^3</f>
        <v/>
      </c>
      <c r="F23" s="2">
        <f>(C23 / $J$5)^3</f>
        <v/>
      </c>
      <c r="G23" s="2">
        <f>(C23 / $J$5)^4</f>
        <v/>
      </c>
    </row>
    <row r="24">
      <c r="A24" s="7" t="inlineStr">
        <is>
          <t>2025-09-20</t>
        </is>
      </c>
      <c r="B24" s="2" t="n">
        <v>0.0286632142961025</v>
      </c>
      <c r="C24" s="2">
        <f>B24 - $J$3</f>
        <v/>
      </c>
      <c r="D24" s="2">
        <f>C24^2</f>
        <v/>
      </c>
      <c r="E24" s="2">
        <f>C24^3</f>
        <v/>
      </c>
      <c r="F24" s="2">
        <f>(C24 / $J$5)^3</f>
        <v/>
      </c>
      <c r="G24" s="2">
        <f>(C24 / $J$5)^4</f>
        <v/>
      </c>
    </row>
    <row r="25">
      <c r="A25" s="7" t="inlineStr">
        <is>
          <t>2025-09-21</t>
        </is>
      </c>
      <c r="B25" s="2" t="n">
        <v>0.0227450113743543</v>
      </c>
      <c r="C25" s="2">
        <f>B25 - $J$3</f>
        <v/>
      </c>
      <c r="D25" s="2">
        <f>C25^2</f>
        <v/>
      </c>
      <c r="E25" s="2">
        <f>C25^3</f>
        <v/>
      </c>
      <c r="F25" s="2">
        <f>(C25 / $J$5)^3</f>
        <v/>
      </c>
      <c r="G25" s="2">
        <f>(C25 / $J$5)^4</f>
        <v/>
      </c>
    </row>
    <row r="26">
      <c r="A26" s="7" t="inlineStr">
        <is>
          <t>2025-09-29</t>
        </is>
      </c>
      <c r="B26" s="2" t="n">
        <v>0.0244586467742919</v>
      </c>
      <c r="C26" s="2">
        <f>B26 - $J$3</f>
        <v/>
      </c>
      <c r="D26" s="2">
        <f>C26^2</f>
        <v/>
      </c>
      <c r="E26" s="2">
        <f>C26^3</f>
        <v/>
      </c>
      <c r="F26" s="2">
        <f>(C26 / $J$5)^3</f>
        <v/>
      </c>
      <c r="G26" s="2">
        <f>(C26 / $J$5)^4</f>
        <v/>
      </c>
    </row>
    <row r="27">
      <c r="A27" s="7" t="inlineStr">
        <is>
          <t>2025-09-30</t>
        </is>
      </c>
      <c r="B27" s="2" t="n">
        <v>0.0306577626615762</v>
      </c>
      <c r="C27" s="2">
        <f>B27 - $J$3</f>
        <v/>
      </c>
      <c r="D27" s="2">
        <f>C27^2</f>
        <v/>
      </c>
      <c r="E27" s="2">
        <f>C27^3</f>
        <v/>
      </c>
      <c r="F27" s="2">
        <f>(C27 / $J$5)^3</f>
        <v/>
      </c>
      <c r="G27" s="2">
        <f>(C27 / $J$5)^4</f>
        <v/>
      </c>
    </row>
    <row r="28">
      <c r="A28" s="7" t="inlineStr">
        <is>
          <t>2025-10-02</t>
        </is>
      </c>
      <c r="B28" s="2" t="n">
        <v>0.0290123783051967</v>
      </c>
      <c r="C28" s="2">
        <f>B28 - $J$3</f>
        <v/>
      </c>
      <c r="D28" s="2">
        <f>C28^2</f>
        <v/>
      </c>
      <c r="E28" s="2">
        <f>C28^3</f>
        <v/>
      </c>
      <c r="F28" s="2">
        <f>(C28 / $J$5)^3</f>
        <v/>
      </c>
      <c r="G28" s="2">
        <f>(C28 / $J$5)^4</f>
        <v/>
      </c>
    </row>
    <row r="29">
      <c r="A29" s="7" t="inlineStr">
        <is>
          <t>2025-10-08</t>
        </is>
      </c>
      <c r="B29" s="2" t="n">
        <v>0.0307669043540954</v>
      </c>
      <c r="C29" s="2">
        <f>B29 - $J$3</f>
        <v/>
      </c>
      <c r="D29" s="2">
        <f>C29^2</f>
        <v/>
      </c>
      <c r="E29" s="2">
        <f>C29^3</f>
        <v/>
      </c>
      <c r="F29" s="2">
        <f>(C29 / $J$5)^3</f>
        <v/>
      </c>
      <c r="G29" s="2">
        <f>(C29 / $J$5)^4</f>
        <v/>
      </c>
    </row>
    <row r="30">
      <c r="A30" s="7" t="inlineStr">
        <is>
          <t>2025-10-09</t>
        </is>
      </c>
      <c r="B30" s="2" t="n">
        <v>0.0273360460996627</v>
      </c>
      <c r="C30" s="2">
        <f>B30 - $J$3</f>
        <v/>
      </c>
      <c r="D30" s="2">
        <f>C30^2</f>
        <v/>
      </c>
      <c r="E30" s="2">
        <f>C30^3</f>
        <v/>
      </c>
      <c r="F30" s="2">
        <f>(C30 / $J$5)^3</f>
        <v/>
      </c>
      <c r="G30" s="2">
        <f>(C30 / $J$5)^4</f>
        <v/>
      </c>
    </row>
    <row r="31">
      <c r="A31" s="7" t="inlineStr">
        <is>
          <t>2025-10-10</t>
        </is>
      </c>
      <c r="B31" s="2" t="n">
        <v>0.0294480118900537</v>
      </c>
      <c r="C31" s="2">
        <f>B31 - $J$3</f>
        <v/>
      </c>
      <c r="D31" s="2">
        <f>C31^2</f>
        <v/>
      </c>
      <c r="E31" s="2">
        <f>C31^3</f>
        <v/>
      </c>
      <c r="F31" s="2">
        <f>(C31 / $J$5)^3</f>
        <v/>
      </c>
      <c r="G31" s="2">
        <f>(C31 / $J$5)^4</f>
        <v/>
      </c>
    </row>
    <row r="32">
      <c r="A32" s="7" t="inlineStr">
        <is>
          <t>2025-10-12</t>
        </is>
      </c>
      <c r="B32" s="2" t="n">
        <v>0.0317969247698783</v>
      </c>
      <c r="C32" s="2">
        <f>B32 - $J$3</f>
        <v/>
      </c>
      <c r="D32" s="2">
        <f>C32^2</f>
        <v/>
      </c>
      <c r="E32" s="2">
        <f>C32^3</f>
        <v/>
      </c>
      <c r="F32" s="2">
        <f>(C32 / $J$5)^3</f>
        <v/>
      </c>
      <c r="G32" s="2">
        <f>(C32 / $J$5)^4</f>
        <v/>
      </c>
    </row>
    <row r="33">
      <c r="A33" s="7" t="inlineStr">
        <is>
          <t>2025-10-15</t>
        </is>
      </c>
      <c r="B33" s="2" t="n">
        <v>0.0377063266932964</v>
      </c>
      <c r="C33" s="2">
        <f>B33 - $J$3</f>
        <v/>
      </c>
      <c r="D33" s="2">
        <f>C33^2</f>
        <v/>
      </c>
      <c r="E33" s="2">
        <f>C33^3</f>
        <v/>
      </c>
      <c r="F33" s="2">
        <f>(C33 / $J$5)^3</f>
        <v/>
      </c>
      <c r="G33" s="2">
        <f>(C33 / $J$5)^4</f>
        <v/>
      </c>
    </row>
    <row r="34">
      <c r="A34" s="7" t="inlineStr">
        <is>
          <t>2025-10-17</t>
        </is>
      </c>
      <c r="B34" s="2" t="n">
        <v>0.0322780385613441</v>
      </c>
      <c r="C34" s="2">
        <f>B34 - $J$3</f>
        <v/>
      </c>
      <c r="D34" s="2">
        <f>C34^2</f>
        <v/>
      </c>
      <c r="E34" s="2">
        <f>C34^3</f>
        <v/>
      </c>
      <c r="F34" s="2">
        <f>(C34 / $J$5)^3</f>
        <v/>
      </c>
      <c r="G34" s="2">
        <f>(C34 / $J$5)^4</f>
        <v/>
      </c>
    </row>
    <row r="35">
      <c r="A35" s="7" t="inlineStr">
        <is>
          <t>2025-10-20</t>
        </is>
      </c>
      <c r="B35" s="2" t="n">
        <v>0.037859309464693</v>
      </c>
      <c r="C35" s="2">
        <f>B35 - $J$3</f>
        <v/>
      </c>
      <c r="D35" s="2">
        <f>C35^2</f>
        <v/>
      </c>
      <c r="E35" s="2">
        <f>C35^3</f>
        <v/>
      </c>
      <c r="F35" s="2">
        <f>(C35 / $J$5)^3</f>
        <v/>
      </c>
      <c r="G35" s="2">
        <f>(C35 / $J$5)^4</f>
        <v/>
      </c>
    </row>
    <row r="36">
      <c r="A36" s="7" t="inlineStr">
        <is>
          <t>2025-10-22</t>
        </is>
      </c>
      <c r="B36" s="2" t="n">
        <v>0.0350517965853214</v>
      </c>
      <c r="C36" s="2">
        <f>B36 - $J$3</f>
        <v/>
      </c>
      <c r="D36" s="2">
        <f>C36^2</f>
        <v/>
      </c>
      <c r="E36" s="2">
        <f>C36^3</f>
        <v/>
      </c>
      <c r="F36" s="2">
        <f>(C36 / $J$5)^3</f>
        <v/>
      </c>
      <c r="G36" s="2">
        <f>(C36 / $J$5)^4</f>
        <v/>
      </c>
    </row>
    <row r="37">
      <c r="A37" s="7" t="inlineStr">
        <is>
          <t>2025-10-23</t>
        </is>
      </c>
      <c r="B37" s="2" t="n">
        <v>0.0277826264500617</v>
      </c>
      <c r="C37" s="2">
        <f>B37 - $J$3</f>
        <v/>
      </c>
      <c r="D37" s="2">
        <f>C37^2</f>
        <v/>
      </c>
      <c r="E37" s="2">
        <f>C37^3</f>
        <v/>
      </c>
      <c r="F37" s="2">
        <f>(C37 / $J$5)^3</f>
        <v/>
      </c>
      <c r="G37" s="2">
        <f>(C37 / $J$5)^4</f>
        <v/>
      </c>
    </row>
    <row r="38">
      <c r="A38" s="7" t="inlineStr">
        <is>
          <t>2025-10-24</t>
        </is>
      </c>
      <c r="B38" s="2" t="n">
        <v>0.0355737656354904</v>
      </c>
      <c r="C38" s="2">
        <f>B38 - $J$3</f>
        <v/>
      </c>
      <c r="D38" s="2">
        <f>C38^2</f>
        <v/>
      </c>
      <c r="E38" s="2">
        <f>C38^3</f>
        <v/>
      </c>
      <c r="F38" s="2">
        <f>(C38 / $J$5)^3</f>
        <v/>
      </c>
      <c r="G38" s="2">
        <f>(C38 / $J$5)^4</f>
        <v/>
      </c>
    </row>
    <row r="39">
      <c r="A39" s="7" t="inlineStr">
        <is>
          <t>2025-10-27</t>
        </is>
      </c>
      <c r="B39" s="2" t="n">
        <v>0.0333904847502708</v>
      </c>
      <c r="C39" s="2">
        <f>B39 - $J$3</f>
        <v/>
      </c>
      <c r="D39" s="2">
        <f>C39^2</f>
        <v/>
      </c>
      <c r="E39" s="2">
        <f>C39^3</f>
        <v/>
      </c>
      <c r="F39" s="2">
        <f>(C39 / $J$5)^3</f>
        <v/>
      </c>
      <c r="G39" s="2">
        <f>(C39 / $J$5)^4</f>
        <v/>
      </c>
    </row>
    <row r="40">
      <c r="A40" s="7" t="inlineStr">
        <is>
          <t>2025-10-31</t>
        </is>
      </c>
      <c r="B40" s="2" t="n">
        <v>0.0201974306255579</v>
      </c>
      <c r="C40" s="2">
        <f>B40 - $J$3</f>
        <v/>
      </c>
      <c r="D40" s="2">
        <f>C40^2</f>
        <v/>
      </c>
      <c r="E40" s="2">
        <f>C40^3</f>
        <v/>
      </c>
      <c r="F40" s="2">
        <f>(C40 / $J$5)^3</f>
        <v/>
      </c>
      <c r="G40" s="2">
        <f>(C40 / $J$5)^4</f>
        <v/>
      </c>
    </row>
    <row r="41">
      <c r="A41" s="7" t="inlineStr">
        <is>
          <t>2025-11-02</t>
        </is>
      </c>
      <c r="B41" s="2" t="n">
        <v>0.032279398292303</v>
      </c>
      <c r="C41" s="2">
        <f>B41 - $J$3</f>
        <v/>
      </c>
      <c r="D41" s="2">
        <f>C41^2</f>
        <v/>
      </c>
      <c r="E41" s="2">
        <f>C41^3</f>
        <v/>
      </c>
      <c r="F41" s="2">
        <f>(C41 / $J$5)^3</f>
        <v/>
      </c>
      <c r="G41" s="2">
        <f>(C41 / $J$5)^4</f>
        <v/>
      </c>
    </row>
    <row r="42">
      <c r="A42" s="7" t="inlineStr">
        <is>
          <t>2025-11-04</t>
        </is>
      </c>
      <c r="B42" s="2" t="n">
        <v>0.0242267381399869</v>
      </c>
      <c r="C42" s="2">
        <f>B42 - $J$3</f>
        <v/>
      </c>
      <c r="D42" s="2">
        <f>C42^2</f>
        <v/>
      </c>
      <c r="E42" s="2">
        <f>C42^3</f>
        <v/>
      </c>
      <c r="F42" s="2">
        <f>(C42 / $J$5)^3</f>
        <v/>
      </c>
      <c r="G42" s="2">
        <f>(C42 / $J$5)^4</f>
        <v/>
      </c>
    </row>
    <row r="43">
      <c r="A43" s="7" t="inlineStr">
        <is>
          <t>2025-11-05</t>
        </is>
      </c>
      <c r="B43" s="2" t="n">
        <v>0.0241525769233703</v>
      </c>
      <c r="C43" s="2">
        <f>B43 - $J$3</f>
        <v/>
      </c>
      <c r="D43" s="2">
        <f>C43^2</f>
        <v/>
      </c>
      <c r="E43" s="2">
        <f>C43^3</f>
        <v/>
      </c>
      <c r="F43" s="2">
        <f>(C43 / $J$5)^3</f>
        <v/>
      </c>
      <c r="G43" s="2">
        <f>(C43 / $J$5)^4</f>
        <v/>
      </c>
    </row>
    <row r="44">
      <c r="A44" s="7" t="inlineStr">
        <is>
          <t>2025-11-08</t>
        </is>
      </c>
      <c r="B44" s="2" t="n">
        <v>0.0289194229990243</v>
      </c>
      <c r="C44" s="2">
        <f>B44 - $J$3</f>
        <v/>
      </c>
      <c r="D44" s="2">
        <f>C44^2</f>
        <v/>
      </c>
      <c r="E44" s="2">
        <f>C44^3</f>
        <v/>
      </c>
      <c r="F44" s="2">
        <f>(C44 / $J$5)^3</f>
        <v/>
      </c>
      <c r="G44" s="2">
        <f>(C44 / $J$5)^4</f>
        <v/>
      </c>
    </row>
    <row r="45">
      <c r="A45" s="7" t="inlineStr">
        <is>
          <t>2025-11-09</t>
        </is>
      </c>
      <c r="B45" s="2" t="n">
        <v>0.0301362723112106</v>
      </c>
      <c r="C45" s="2">
        <f>B45 - $J$3</f>
        <v/>
      </c>
      <c r="D45" s="2">
        <f>C45^2</f>
        <v/>
      </c>
      <c r="E45" s="2">
        <f>C45^3</f>
        <v/>
      </c>
      <c r="F45" s="2">
        <f>(C45 / $J$5)^3</f>
        <v/>
      </c>
      <c r="G45" s="2">
        <f>(C45 / $J$5)^4</f>
        <v/>
      </c>
    </row>
    <row r="46">
      <c r="A46" s="7" t="inlineStr">
        <is>
          <t>2025-11-10</t>
        </is>
      </c>
      <c r="B46" s="2" t="n">
        <v>0.0293126720935106</v>
      </c>
      <c r="C46" s="2">
        <f>B46 - $J$3</f>
        <v/>
      </c>
      <c r="D46" s="2">
        <f>C46^2</f>
        <v/>
      </c>
      <c r="E46" s="2">
        <f>C46^3</f>
        <v/>
      </c>
      <c r="F46" s="2">
        <f>(C46 / $J$5)^3</f>
        <v/>
      </c>
      <c r="G46" s="2">
        <f>(C46 / $J$5)^4</f>
        <v/>
      </c>
    </row>
    <row r="47">
      <c r="A47" s="7" t="inlineStr">
        <is>
          <t>2025-11-11</t>
        </is>
      </c>
      <c r="B47" s="2" t="n">
        <v>0.0279377792030572</v>
      </c>
      <c r="C47" s="2">
        <f>B47 - $J$3</f>
        <v/>
      </c>
      <c r="D47" s="2">
        <f>C47^2</f>
        <v/>
      </c>
      <c r="E47" s="2">
        <f>C47^3</f>
        <v/>
      </c>
      <c r="F47" s="2">
        <f>(C47 / $J$5)^3</f>
        <v/>
      </c>
      <c r="G47" s="2">
        <f>(C47 / $J$5)^4</f>
        <v/>
      </c>
    </row>
    <row r="48">
      <c r="A48" s="7" t="inlineStr">
        <is>
          <t>2025-11-12</t>
        </is>
      </c>
      <c r="B48" s="2" t="n">
        <v>0.0311970189213752</v>
      </c>
      <c r="C48" s="2">
        <f>B48 - $J$3</f>
        <v/>
      </c>
      <c r="D48" s="2">
        <f>C48^2</f>
        <v/>
      </c>
      <c r="E48" s="2">
        <f>C48^3</f>
        <v/>
      </c>
      <c r="F48" s="2">
        <f>(C48 / $J$5)^3</f>
        <v/>
      </c>
      <c r="G48" s="2">
        <f>(C48 / $J$5)^4</f>
        <v/>
      </c>
    </row>
    <row r="49">
      <c r="A49" s="7" t="inlineStr">
        <is>
          <t>2025-11-13</t>
        </is>
      </c>
      <c r="B49" s="2" t="n">
        <v>0.0280524790287017</v>
      </c>
      <c r="C49" s="2">
        <f>B49 - $J$3</f>
        <v/>
      </c>
      <c r="D49" s="2">
        <f>C49^2</f>
        <v/>
      </c>
      <c r="E49" s="2">
        <f>C49^3</f>
        <v/>
      </c>
      <c r="F49" s="2">
        <f>(C49 / $J$5)^3</f>
        <v/>
      </c>
      <c r="G49" s="2">
        <f>(C49 / $J$5)^4</f>
        <v/>
      </c>
    </row>
    <row r="50">
      <c r="A50" s="7" t="inlineStr">
        <is>
          <t>2025-11-14</t>
        </is>
      </c>
      <c r="B50" s="2" t="n">
        <v>0.0275849420577287</v>
      </c>
      <c r="C50" s="2">
        <f>B50 - $J$3</f>
        <v/>
      </c>
      <c r="D50" s="2">
        <f>C50^2</f>
        <v/>
      </c>
      <c r="E50" s="2">
        <f>C50^3</f>
        <v/>
      </c>
      <c r="F50" s="2">
        <f>(C50 / $J$5)^3</f>
        <v/>
      </c>
      <c r="G50" s="2">
        <f>(C50 / $J$5)^4</f>
        <v/>
      </c>
    </row>
    <row r="51">
      <c r="A51" s="7" t="inlineStr">
        <is>
          <t>2025-11-16</t>
        </is>
      </c>
      <c r="B51" s="2" t="n">
        <v>0.0217671319842338</v>
      </c>
      <c r="C51" s="2">
        <f>B51 - $J$3</f>
        <v/>
      </c>
      <c r="D51" s="2">
        <f>C51^2</f>
        <v/>
      </c>
      <c r="E51" s="2">
        <f>C51^3</f>
        <v/>
      </c>
      <c r="F51" s="2">
        <f>(C51 / $J$5)^3</f>
        <v/>
      </c>
      <c r="G51" s="2">
        <f>(C51 / $J$5)^4</f>
        <v/>
      </c>
    </row>
    <row r="52">
      <c r="A52" s="7" t="inlineStr">
        <is>
          <t>2025-11-17</t>
        </is>
      </c>
      <c r="B52" s="2" t="n">
        <v>0.024025397375226</v>
      </c>
      <c r="C52" s="2">
        <f>B52 - $J$3</f>
        <v/>
      </c>
      <c r="D52" s="2">
        <f>C52^2</f>
        <v/>
      </c>
      <c r="E52" s="2">
        <f>C52^3</f>
        <v/>
      </c>
      <c r="F52" s="2">
        <f>(C52 / $J$5)^3</f>
        <v/>
      </c>
      <c r="G52" s="2">
        <f>(C52 / $J$5)^4</f>
        <v/>
      </c>
    </row>
    <row r="53">
      <c r="A53" s="7" t="inlineStr">
        <is>
          <t>2025-11-21</t>
        </is>
      </c>
      <c r="B53" s="2" t="n">
        <v>0.0284346416592597</v>
      </c>
      <c r="C53" s="2">
        <f>B53 - $J$3</f>
        <v/>
      </c>
      <c r="D53" s="2">
        <f>C53^2</f>
        <v/>
      </c>
      <c r="E53" s="2">
        <f>C53^3</f>
        <v/>
      </c>
      <c r="F53" s="2">
        <f>(C53 / $J$5)^3</f>
        <v/>
      </c>
      <c r="G53" s="2">
        <f>(C53 / $J$5)^4</f>
        <v/>
      </c>
    </row>
    <row r="54">
      <c r="A54" s="7" t="inlineStr">
        <is>
          <t>2025-11-23</t>
        </is>
      </c>
      <c r="B54" s="2" t="n">
        <v>0.0262487772852182</v>
      </c>
      <c r="C54" s="2">
        <f>B54 - $J$3</f>
        <v/>
      </c>
      <c r="D54" s="2">
        <f>C54^2</f>
        <v/>
      </c>
      <c r="E54" s="2">
        <f>C54^3</f>
        <v/>
      </c>
      <c r="F54" s="2">
        <f>(C54 / $J$5)^3</f>
        <v/>
      </c>
      <c r="G54" s="2">
        <f>(C54 / $J$5)^4</f>
        <v/>
      </c>
    </row>
    <row r="55">
      <c r="A55" s="7" t="inlineStr">
        <is>
          <t>2025-11-24</t>
        </is>
      </c>
      <c r="B55" s="2" t="n">
        <v>0.0282207019627094</v>
      </c>
      <c r="C55" s="2">
        <f>B55 - $J$3</f>
        <v/>
      </c>
      <c r="D55" s="2">
        <f>C55^2</f>
        <v/>
      </c>
      <c r="E55" s="2">
        <f>C55^3</f>
        <v/>
      </c>
      <c r="F55" s="2">
        <f>(C55 / $J$5)^3</f>
        <v/>
      </c>
      <c r="G55" s="2">
        <f>(C55 / $J$5)^4</f>
        <v/>
      </c>
    </row>
    <row r="56">
      <c r="A56" s="7" t="inlineStr">
        <is>
          <t>2025-11-25</t>
        </is>
      </c>
      <c r="B56" s="2" t="n">
        <v>0.0281653348356485</v>
      </c>
      <c r="C56" s="2">
        <f>B56 - $J$3</f>
        <v/>
      </c>
      <c r="D56" s="2">
        <f>C56^2</f>
        <v/>
      </c>
      <c r="E56" s="2">
        <f>C56^3</f>
        <v/>
      </c>
      <c r="F56" s="2">
        <f>(C56 / $J$5)^3</f>
        <v/>
      </c>
      <c r="G56" s="2">
        <f>(C56 / $J$5)^4</f>
        <v/>
      </c>
    </row>
    <row r="57">
      <c r="A57" s="7" t="inlineStr">
        <is>
          <t>2025-11-26</t>
        </is>
      </c>
      <c r="B57" s="2" t="n">
        <v>0.0252072382718324</v>
      </c>
      <c r="C57" s="2">
        <f>B57 - $J$3</f>
        <v/>
      </c>
      <c r="D57" s="2">
        <f>C57^2</f>
        <v/>
      </c>
      <c r="E57" s="2">
        <f>C57^3</f>
        <v/>
      </c>
      <c r="F57" s="2">
        <f>(C57 / $J$5)^3</f>
        <v/>
      </c>
      <c r="G57" s="2">
        <f>(C57 / $J$5)^4</f>
        <v/>
      </c>
    </row>
    <row r="58">
      <c r="A58" s="7" t="inlineStr">
        <is>
          <t>2025-11-28</t>
        </is>
      </c>
      <c r="B58" s="2" t="n">
        <v>0.0298016089946031</v>
      </c>
      <c r="C58" s="2">
        <f>B58 - $J$3</f>
        <v/>
      </c>
      <c r="D58" s="2">
        <f>C58^2</f>
        <v/>
      </c>
      <c r="E58" s="2">
        <f>C58^3</f>
        <v/>
      </c>
      <c r="F58" s="2">
        <f>(C58 / $J$5)^3</f>
        <v/>
      </c>
      <c r="G58" s="2">
        <f>(C58 / $J$5)^4</f>
        <v/>
      </c>
    </row>
    <row r="59">
      <c r="A59" s="7" t="inlineStr">
        <is>
          <t>2025-11-29</t>
        </is>
      </c>
      <c r="B59" s="2" t="n">
        <v>0.0287057142704725</v>
      </c>
      <c r="C59" s="2">
        <f>B59 - $J$3</f>
        <v/>
      </c>
      <c r="D59" s="2">
        <f>C59^2</f>
        <v/>
      </c>
      <c r="E59" s="2">
        <f>C59^3</f>
        <v/>
      </c>
      <c r="F59" s="2">
        <f>(C59 / $J$5)^3</f>
        <v/>
      </c>
      <c r="G59" s="2">
        <f>(C59 / $J$5)^4</f>
        <v/>
      </c>
    </row>
    <row r="60">
      <c r="A60" s="7" t="inlineStr">
        <is>
          <t>2025-12-01</t>
        </is>
      </c>
      <c r="B60" s="2" t="n">
        <v>0.0241381004452705</v>
      </c>
      <c r="C60" s="2">
        <f>B60 - $J$3</f>
        <v/>
      </c>
      <c r="D60" s="2">
        <f>C60^2</f>
        <v/>
      </c>
      <c r="E60" s="2">
        <f>C60^3</f>
        <v/>
      </c>
      <c r="F60" s="2">
        <f>(C60 / $J$5)^3</f>
        <v/>
      </c>
      <c r="G60" s="2">
        <f>(C60 / $J$5)^4</f>
        <v/>
      </c>
    </row>
    <row r="61">
      <c r="A61" s="7" t="inlineStr">
        <is>
          <t>2025-12-02</t>
        </is>
      </c>
      <c r="B61" s="2" t="n">
        <v>0.0303140003234148</v>
      </c>
      <c r="C61" s="2">
        <f>B61 - $J$3</f>
        <v/>
      </c>
      <c r="D61" s="2">
        <f>C61^2</f>
        <v/>
      </c>
      <c r="E61" s="2">
        <f>C61^3</f>
        <v/>
      </c>
      <c r="F61" s="2">
        <f>(C61 / $J$5)^3</f>
        <v/>
      </c>
      <c r="G61" s="2">
        <f>(C61 / $J$5)^4</f>
        <v/>
      </c>
    </row>
    <row r="62">
      <c r="A62" s="7" t="inlineStr">
        <is>
          <t>2025-12-06</t>
        </is>
      </c>
      <c r="B62" s="2" t="n">
        <v>0.0318924337625503</v>
      </c>
      <c r="C62" s="2">
        <f>B62 - $J$3</f>
        <v/>
      </c>
      <c r="D62" s="2">
        <f>C62^2</f>
        <v/>
      </c>
      <c r="E62" s="2">
        <f>C62^3</f>
        <v/>
      </c>
      <c r="F62" s="2">
        <f>(C62 / $J$5)^3</f>
        <v/>
      </c>
      <c r="G62" s="2">
        <f>(C62 / $J$5)^4</f>
        <v/>
      </c>
    </row>
    <row r="63">
      <c r="A63" s="7" t="inlineStr">
        <is>
          <t>2025-12-07</t>
        </is>
      </c>
      <c r="B63" s="2" t="n">
        <v>0.0298919286578893</v>
      </c>
      <c r="C63" s="2">
        <f>B63 - $J$3</f>
        <v/>
      </c>
      <c r="D63" s="2">
        <f>C63^2</f>
        <v/>
      </c>
      <c r="E63" s="2">
        <f>C63^3</f>
        <v/>
      </c>
      <c r="F63" s="2">
        <f>(C63 / $J$5)^3</f>
        <v/>
      </c>
      <c r="G63" s="2">
        <f>(C63 / $J$5)^4</f>
        <v/>
      </c>
    </row>
    <row r="64">
      <c r="A64" s="7" t="inlineStr">
        <is>
          <t>2025-12-08</t>
        </is>
      </c>
      <c r="B64" s="2" t="n">
        <v>0.0277095064520835</v>
      </c>
      <c r="C64" s="2">
        <f>B64 - $J$3</f>
        <v/>
      </c>
      <c r="D64" s="2">
        <f>C64^2</f>
        <v/>
      </c>
      <c r="E64" s="2">
        <f>C64^3</f>
        <v/>
      </c>
      <c r="F64" s="2">
        <f>(C64 / $J$5)^3</f>
        <v/>
      </c>
      <c r="G64" s="2">
        <f>(C64 / $J$5)^4</f>
        <v/>
      </c>
    </row>
    <row r="65">
      <c r="A65" s="7" t="inlineStr">
        <is>
          <t>2025-12-09</t>
        </is>
      </c>
      <c r="B65" s="2" t="n">
        <v>0.0304602943360805</v>
      </c>
      <c r="C65" s="2">
        <f>B65 - $J$3</f>
        <v/>
      </c>
      <c r="D65" s="2">
        <f>C65^2</f>
        <v/>
      </c>
      <c r="E65" s="2">
        <f>C65^3</f>
        <v/>
      </c>
      <c r="F65" s="2">
        <f>(C65 / $J$5)^3</f>
        <v/>
      </c>
      <c r="G65" s="2">
        <f>(C65 / $J$5)^4</f>
        <v/>
      </c>
    </row>
    <row r="66">
      <c r="A66" s="7" t="inlineStr">
        <is>
          <t>2025-12-11</t>
        </is>
      </c>
      <c r="B66" s="2" t="n">
        <v>0.0293361321091651</v>
      </c>
      <c r="C66" s="2">
        <f>B66 - $J$3</f>
        <v/>
      </c>
      <c r="D66" s="2">
        <f>C66^2</f>
        <v/>
      </c>
      <c r="E66" s="2">
        <f>C66^3</f>
        <v/>
      </c>
      <c r="F66" s="2">
        <f>(C66 / $J$5)^3</f>
        <v/>
      </c>
      <c r="G66" s="2">
        <f>(C66 / $J$5)^4</f>
        <v/>
      </c>
    </row>
    <row r="67">
      <c r="A67" s="7" t="inlineStr">
        <is>
          <t>2025-12-12</t>
        </is>
      </c>
      <c r="B67" s="2" t="n">
        <v>0.0285856761038303</v>
      </c>
      <c r="C67" s="2">
        <f>B67 - $J$3</f>
        <v/>
      </c>
      <c r="D67" s="2">
        <f>C67^2</f>
        <v/>
      </c>
      <c r="E67" s="2">
        <f>C67^3</f>
        <v/>
      </c>
      <c r="F67" s="2">
        <f>(C67 / $J$5)^3</f>
        <v/>
      </c>
      <c r="G67" s="2">
        <f>(C67 / $J$5)^4</f>
        <v/>
      </c>
    </row>
    <row r="68">
      <c r="A68" s="7" t="inlineStr">
        <is>
          <t>2025-12-13</t>
        </is>
      </c>
      <c r="B68" s="2" t="n">
        <v>0.0220704469829797</v>
      </c>
      <c r="C68" s="2">
        <f>B68 - $J$3</f>
        <v/>
      </c>
      <c r="D68" s="2">
        <f>C68^2</f>
        <v/>
      </c>
      <c r="E68" s="2">
        <f>C68^3</f>
        <v/>
      </c>
      <c r="F68" s="2">
        <f>(C68 / $J$5)^3</f>
        <v/>
      </c>
      <c r="G68" s="2">
        <f>(C68 / $J$5)^4</f>
        <v/>
      </c>
    </row>
    <row r="69">
      <c r="A69" s="7" t="inlineStr">
        <is>
          <t>2025-12-14</t>
        </is>
      </c>
      <c r="B69" s="2" t="n">
        <v>0.0228313971310853</v>
      </c>
      <c r="C69" s="2">
        <f>B69 - $J$3</f>
        <v/>
      </c>
      <c r="D69" s="2">
        <f>C69^2</f>
        <v/>
      </c>
      <c r="E69" s="2">
        <f>C69^3</f>
        <v/>
      </c>
      <c r="F69" s="2">
        <f>(C69 / $J$5)^3</f>
        <v/>
      </c>
      <c r="G69" s="2">
        <f>(C69 / $J$5)^4</f>
        <v/>
      </c>
    </row>
    <row r="70">
      <c r="A70" s="7" t="inlineStr">
        <is>
          <t>2025-12-16</t>
        </is>
      </c>
      <c r="B70" s="2" t="n">
        <v>0.0204454623162746</v>
      </c>
      <c r="C70" s="2">
        <f>B70 - $J$3</f>
        <v/>
      </c>
      <c r="D70" s="2">
        <f>C70^2</f>
        <v/>
      </c>
      <c r="E70" s="2">
        <f>C70^3</f>
        <v/>
      </c>
      <c r="F70" s="2">
        <f>(C70 / $J$5)^3</f>
        <v/>
      </c>
      <c r="G70" s="2">
        <f>(C70 / $J$5)^4</f>
        <v/>
      </c>
    </row>
    <row r="71">
      <c r="A71" s="7" t="inlineStr">
        <is>
          <t>2025-12-20</t>
        </is>
      </c>
      <c r="B71" s="2" t="n">
        <v>0.0287800207734107</v>
      </c>
      <c r="C71" s="2">
        <f>B71 - $J$3</f>
        <v/>
      </c>
      <c r="D71" s="2">
        <f>C71^2</f>
        <v/>
      </c>
      <c r="E71" s="2">
        <f>C71^3</f>
        <v/>
      </c>
      <c r="F71" s="2">
        <f>(C71 / $J$5)^3</f>
        <v/>
      </c>
      <c r="G71" s="2">
        <f>(C71 / $J$5)^4</f>
        <v/>
      </c>
    </row>
    <row r="72">
      <c r="A72" s="7" t="inlineStr">
        <is>
          <t>2025-12-21</t>
        </is>
      </c>
      <c r="B72" s="2" t="n">
        <v>0.0239029694348573</v>
      </c>
      <c r="C72" s="2">
        <f>B72 - $J$3</f>
        <v/>
      </c>
      <c r="D72" s="2">
        <f>C72^2</f>
        <v/>
      </c>
      <c r="E72" s="2">
        <f>C72^3</f>
        <v/>
      </c>
      <c r="F72" s="2">
        <f>(C72 / $J$5)^3</f>
        <v/>
      </c>
      <c r="G72" s="2">
        <f>(C72 / $J$5)^4</f>
        <v/>
      </c>
    </row>
    <row r="73">
      <c r="A73" s="7" t="inlineStr">
        <is>
          <t>2025-12-23</t>
        </is>
      </c>
      <c r="B73" s="2" t="n">
        <v>0.0250601004809141</v>
      </c>
      <c r="C73" s="2">
        <f>B73 - $J$3</f>
        <v/>
      </c>
      <c r="D73" s="2">
        <f>C73^2</f>
        <v/>
      </c>
      <c r="E73" s="2">
        <f>C73^3</f>
        <v/>
      </c>
      <c r="F73" s="2">
        <f>(C73 / $J$5)^3</f>
        <v/>
      </c>
      <c r="G73" s="2">
        <f>(C73 / $J$5)^4</f>
        <v/>
      </c>
    </row>
    <row r="74">
      <c r="A74" s="7" t="inlineStr">
        <is>
          <t>2025-12-28</t>
        </is>
      </c>
      <c r="B74" s="2" t="n">
        <v>0.0293078254908323</v>
      </c>
      <c r="C74" s="2">
        <f>B74 - $J$3</f>
        <v/>
      </c>
      <c r="D74" s="2">
        <f>C74^2</f>
        <v/>
      </c>
      <c r="E74" s="2">
        <f>C74^3</f>
        <v/>
      </c>
      <c r="F74" s="2">
        <f>(C74 / $J$5)^3</f>
        <v/>
      </c>
      <c r="G74" s="2">
        <f>(C74 / $J$5)^4</f>
        <v/>
      </c>
    </row>
    <row r="75">
      <c r="A75" s="7" t="inlineStr">
        <is>
          <t>2025-12-30</t>
        </is>
      </c>
      <c r="B75" s="2" t="n">
        <v>0.0316898263990879</v>
      </c>
      <c r="C75" s="2">
        <f>B75 - $J$3</f>
        <v/>
      </c>
      <c r="D75" s="2">
        <f>C75^2</f>
        <v/>
      </c>
      <c r="E75" s="2">
        <f>C75^3</f>
        <v/>
      </c>
      <c r="F75" s="2">
        <f>(C75 / $J$5)^3</f>
        <v/>
      </c>
      <c r="G75" s="2">
        <f>(C75 / $J$5)^4</f>
        <v/>
      </c>
    </row>
    <row r="76">
      <c r="A76" s="7" t="inlineStr">
        <is>
          <t>2025-12-31</t>
        </is>
      </c>
      <c r="B76" s="2" t="n">
        <v>0.0337452739477157</v>
      </c>
      <c r="C76" s="2">
        <f>B76 - $J$3</f>
        <v/>
      </c>
      <c r="D76" s="2">
        <f>C76^2</f>
        <v/>
      </c>
      <c r="E76" s="2">
        <f>C76^3</f>
        <v/>
      </c>
      <c r="F76" s="2">
        <f>(C76 / $J$5)^3</f>
        <v/>
      </c>
      <c r="G76" s="2">
        <f>(C76 / $J$5)^4</f>
        <v/>
      </c>
    </row>
    <row r="77">
      <c r="A77" s="7" t="inlineStr">
        <is>
          <t>2026-01-09</t>
        </is>
      </c>
      <c r="B77" s="2" t="n">
        <v>0.019468592479825</v>
      </c>
      <c r="C77" s="2">
        <f>B77 - $J$3</f>
        <v/>
      </c>
      <c r="D77" s="2">
        <f>C77^2</f>
        <v/>
      </c>
      <c r="E77" s="2">
        <f>C77^3</f>
        <v/>
      </c>
      <c r="F77" s="2">
        <f>(C77 / $J$5)^3</f>
        <v/>
      </c>
      <c r="G77" s="2">
        <f>(C77 / $J$5)^4</f>
        <v/>
      </c>
    </row>
    <row r="78">
      <c r="A78" s="7" t="inlineStr">
        <is>
          <t>2026-01-10</t>
        </is>
      </c>
      <c r="B78" s="2" t="n">
        <v>0.0220751762390136</v>
      </c>
      <c r="C78" s="2">
        <f>B78 - $J$3</f>
        <v/>
      </c>
      <c r="D78" s="2">
        <f>C78^2</f>
        <v/>
      </c>
      <c r="E78" s="2">
        <f>C78^3</f>
        <v/>
      </c>
      <c r="F78" s="2">
        <f>(C78 / $J$5)^3</f>
        <v/>
      </c>
      <c r="G78" s="2">
        <f>(C78 / $J$5)^4</f>
        <v/>
      </c>
    </row>
    <row r="79">
      <c r="A79" s="7" t="inlineStr">
        <is>
          <t>2026-01-11</t>
        </is>
      </c>
      <c r="B79" s="2" t="n">
        <v>0.0323581248521804</v>
      </c>
      <c r="C79" s="2">
        <f>B79 - $J$3</f>
        <v/>
      </c>
      <c r="D79" s="2">
        <f>C79^2</f>
        <v/>
      </c>
      <c r="E79" s="2">
        <f>C79^3</f>
        <v/>
      </c>
      <c r="F79" s="2">
        <f>(C79 / $J$5)^3</f>
        <v/>
      </c>
      <c r="G79" s="2">
        <f>(C79 / $J$5)^4</f>
        <v/>
      </c>
    </row>
    <row r="80">
      <c r="A80" s="7" t="inlineStr">
        <is>
          <t>2026-01-12</t>
        </is>
      </c>
      <c r="B80" s="2" t="n">
        <v>0.0358419343829155</v>
      </c>
      <c r="C80" s="2">
        <f>B80 - $J$3</f>
        <v/>
      </c>
      <c r="D80" s="2">
        <f>C80^2</f>
        <v/>
      </c>
      <c r="E80" s="2">
        <f>C80^3</f>
        <v/>
      </c>
      <c r="F80" s="2">
        <f>(C80 / $J$5)^3</f>
        <v/>
      </c>
      <c r="G80" s="2">
        <f>(C80 / $J$5)^4</f>
        <v/>
      </c>
    </row>
    <row r="81">
      <c r="A81" s="7" t="inlineStr">
        <is>
          <t>2026-01-14</t>
        </is>
      </c>
      <c r="B81" s="2" t="n">
        <v>0.0404725186526775</v>
      </c>
      <c r="C81" s="2">
        <f>B81 - $J$3</f>
        <v/>
      </c>
      <c r="D81" s="2">
        <f>C81^2</f>
        <v/>
      </c>
      <c r="E81" s="2">
        <f>C81^3</f>
        <v/>
      </c>
      <c r="F81" s="2">
        <f>(C81 / $J$5)^3</f>
        <v/>
      </c>
      <c r="G81" s="2">
        <f>(C81 / $J$5)^4</f>
        <v/>
      </c>
    </row>
    <row r="82">
      <c r="A82" s="7" t="inlineStr">
        <is>
          <t>2026-01-15</t>
        </is>
      </c>
      <c r="B82" s="2" t="n">
        <v>0.0292548034340143</v>
      </c>
      <c r="C82" s="2">
        <f>B82 - $J$3</f>
        <v/>
      </c>
      <c r="D82" s="2">
        <f>C82^2</f>
        <v/>
      </c>
      <c r="E82" s="2">
        <f>C82^3</f>
        <v/>
      </c>
      <c r="F82" s="2">
        <f>(C82 / $J$5)^3</f>
        <v/>
      </c>
      <c r="G82" s="2">
        <f>(C82 / $J$5)^4</f>
        <v/>
      </c>
    </row>
    <row r="83">
      <c r="A83" s="7" t="inlineStr">
        <is>
          <t>2026-01-16</t>
        </is>
      </c>
      <c r="B83" s="2" t="n">
        <v>0.026000702753663</v>
      </c>
      <c r="C83" s="2">
        <f>B83 - $J$3</f>
        <v/>
      </c>
      <c r="D83" s="2">
        <f>C83^2</f>
        <v/>
      </c>
      <c r="E83" s="2">
        <f>C83^3</f>
        <v/>
      </c>
      <c r="F83" s="2">
        <f>(C83 / $J$5)^3</f>
        <v/>
      </c>
      <c r="G83" s="2">
        <f>(C83 / $J$5)^4</f>
        <v/>
      </c>
    </row>
    <row r="84">
      <c r="A84" s="7" t="inlineStr">
        <is>
          <t>2026-01-20</t>
        </is>
      </c>
      <c r="B84" s="2" t="n">
        <v>0.0242075100541114</v>
      </c>
      <c r="C84" s="2">
        <f>B84 - $J$3</f>
        <v/>
      </c>
      <c r="D84" s="2">
        <f>C84^2</f>
        <v/>
      </c>
      <c r="E84" s="2">
        <f>C84^3</f>
        <v/>
      </c>
      <c r="F84" s="2">
        <f>(C84 / $J$5)^3</f>
        <v/>
      </c>
      <c r="G84" s="2">
        <f>(C84 / $J$5)^4</f>
        <v/>
      </c>
    </row>
    <row r="85">
      <c r="A85" s="7" t="inlineStr">
        <is>
          <t>2026-01-22</t>
        </is>
      </c>
      <c r="B85" s="2" t="n">
        <v>0.0305939354002475</v>
      </c>
      <c r="C85" s="2">
        <f>B85 - $J$3</f>
        <v/>
      </c>
      <c r="D85" s="2">
        <f>C85^2</f>
        <v/>
      </c>
      <c r="E85" s="2">
        <f>C85^3</f>
        <v/>
      </c>
      <c r="F85" s="2">
        <f>(C85 / $J$5)^3</f>
        <v/>
      </c>
      <c r="G85" s="2">
        <f>(C85 / $J$5)^4</f>
        <v/>
      </c>
    </row>
    <row r="86">
      <c r="A86" s="7" t="inlineStr">
        <is>
          <t>2026-01-24</t>
        </is>
      </c>
      <c r="B86" s="2" t="n">
        <v>0.0388421788811683</v>
      </c>
      <c r="C86" s="2">
        <f>B86 - $J$3</f>
        <v/>
      </c>
      <c r="D86" s="2">
        <f>C86^2</f>
        <v/>
      </c>
      <c r="E86" s="2">
        <f>C86^3</f>
        <v/>
      </c>
      <c r="F86" s="2">
        <f>(C86 / $J$5)^3</f>
        <v/>
      </c>
      <c r="G86" s="2">
        <f>(C86 / $J$5)^4</f>
        <v/>
      </c>
    </row>
    <row r="87">
      <c r="A87" s="7" t="inlineStr">
        <is>
          <t>2026-01-27</t>
        </is>
      </c>
      <c r="B87" s="2" t="n">
        <v>0.0251174364238977</v>
      </c>
      <c r="C87" s="2">
        <f>B87 - $J$3</f>
        <v/>
      </c>
      <c r="D87" s="2">
        <f>C87^2</f>
        <v/>
      </c>
      <c r="E87" s="2">
        <f>C87^3</f>
        <v/>
      </c>
      <c r="F87" s="2">
        <f>(C87 / $J$5)^3</f>
        <v/>
      </c>
      <c r="G87" s="2">
        <f>(C87 / $J$5)^4</f>
        <v/>
      </c>
    </row>
    <row r="88">
      <c r="A88" s="7" t="inlineStr">
        <is>
          <t>2026-01-30</t>
        </is>
      </c>
      <c r="B88" s="2" t="n">
        <v>0.0271775983273983</v>
      </c>
      <c r="C88" s="2">
        <f>B88 - $J$3</f>
        <v/>
      </c>
      <c r="D88" s="2">
        <f>C88^2</f>
        <v/>
      </c>
      <c r="E88" s="2">
        <f>C88^3</f>
        <v/>
      </c>
      <c r="F88" s="2">
        <f>(C88 / $J$5)^3</f>
        <v/>
      </c>
      <c r="G88" s="2">
        <f>(C88 / $J$5)^4</f>
        <v/>
      </c>
    </row>
    <row r="89">
      <c r="A89" s="7" t="inlineStr">
        <is>
          <t>2026-01-31</t>
        </is>
      </c>
      <c r="B89" s="2" t="n">
        <v>0.0279042162001132</v>
      </c>
      <c r="C89" s="2">
        <f>B89 - $J$3</f>
        <v/>
      </c>
      <c r="D89" s="2">
        <f>C89^2</f>
        <v/>
      </c>
      <c r="E89" s="2">
        <f>C89^3</f>
        <v/>
      </c>
      <c r="F89" s="2">
        <f>(C89 / $J$5)^3</f>
        <v/>
      </c>
      <c r="G89" s="2">
        <f>(C89 / $J$5)^4</f>
        <v/>
      </c>
    </row>
    <row r="90">
      <c r="A90" s="7" t="inlineStr">
        <is>
          <t>2026-02-01</t>
        </is>
      </c>
      <c r="B90" s="2" t="n">
        <v>0.022060228511691</v>
      </c>
      <c r="C90" s="2">
        <f>B90 - $J$3</f>
        <v/>
      </c>
      <c r="D90" s="2">
        <f>C90^2</f>
        <v/>
      </c>
      <c r="E90" s="2">
        <f>C90^3</f>
        <v/>
      </c>
      <c r="F90" s="2">
        <f>(C90 / $J$5)^3</f>
        <v/>
      </c>
      <c r="G90" s="2">
        <f>(C90 / $J$5)^4</f>
        <v/>
      </c>
    </row>
    <row r="91">
      <c r="A91" s="7" t="inlineStr">
        <is>
          <t>2026-02-03</t>
        </is>
      </c>
      <c r="B91" s="2" t="n">
        <v>0.0261642336845397</v>
      </c>
      <c r="C91" s="2">
        <f>B91 - $J$3</f>
        <v/>
      </c>
      <c r="D91" s="2">
        <f>C91^2</f>
        <v/>
      </c>
      <c r="E91" s="2">
        <f>C91^3</f>
        <v/>
      </c>
      <c r="F91" s="2">
        <f>(C91 / $J$5)^3</f>
        <v/>
      </c>
      <c r="G91" s="2">
        <f>(C91 / $J$5)^4</f>
        <v/>
      </c>
    </row>
    <row r="92">
      <c r="A92" s="7" t="inlineStr">
        <is>
          <t>2026-02-07</t>
        </is>
      </c>
      <c r="B92" s="2" t="n">
        <v>0.026935189962387</v>
      </c>
      <c r="C92" s="2">
        <f>B92 - $J$3</f>
        <v/>
      </c>
      <c r="D92" s="2">
        <f>C92^2</f>
        <v/>
      </c>
      <c r="E92" s="2">
        <f>C92^3</f>
        <v/>
      </c>
      <c r="F92" s="2">
        <f>(C92 / $J$5)^3</f>
        <v/>
      </c>
      <c r="G92" s="2">
        <f>(C92 / $J$5)^4</f>
        <v/>
      </c>
    </row>
    <row r="93">
      <c r="A93" s="7" t="inlineStr">
        <is>
          <t>2026-02-08</t>
        </is>
      </c>
      <c r="B93" s="2" t="n">
        <v>0.0270221643149852</v>
      </c>
      <c r="C93" s="2">
        <f>B93 - $J$3</f>
        <v/>
      </c>
      <c r="D93" s="2">
        <f>C93^2</f>
        <v/>
      </c>
      <c r="E93" s="2">
        <f>C93^3</f>
        <v/>
      </c>
      <c r="F93" s="2">
        <f>(C93 / $J$5)^3</f>
        <v/>
      </c>
      <c r="G93" s="2">
        <f>(C93 / $J$5)^4</f>
        <v/>
      </c>
    </row>
    <row r="94">
      <c r="A94" s="7" t="inlineStr">
        <is>
          <t>2026-02-10</t>
        </is>
      </c>
      <c r="B94" s="2" t="n">
        <v>0.0296602733433246</v>
      </c>
      <c r="C94" s="2">
        <f>B94 - $J$3</f>
        <v/>
      </c>
      <c r="D94" s="2">
        <f>C94^2</f>
        <v/>
      </c>
      <c r="E94" s="2">
        <f>C94^3</f>
        <v/>
      </c>
      <c r="F94" s="2">
        <f>(C94 / $J$5)^3</f>
        <v/>
      </c>
      <c r="G94" s="2">
        <f>(C94 / $J$5)^4</f>
        <v/>
      </c>
    </row>
    <row r="95">
      <c r="A95" s="7" t="inlineStr">
        <is>
          <t>2026-02-12</t>
        </is>
      </c>
      <c r="B95" s="2" t="n">
        <v>0.0357249155640602</v>
      </c>
      <c r="C95" s="2">
        <f>B95 - $J$3</f>
        <v/>
      </c>
      <c r="D95" s="2">
        <f>C95^2</f>
        <v/>
      </c>
      <c r="E95" s="2">
        <f>C95^3</f>
        <v/>
      </c>
      <c r="F95" s="2">
        <f>(C95 / $J$5)^3</f>
        <v/>
      </c>
      <c r="G95" s="2">
        <f>(C95 / $J$5)^4</f>
        <v/>
      </c>
    </row>
    <row r="96">
      <c r="A96" s="7" t="inlineStr">
        <is>
          <t>2026-02-13</t>
        </is>
      </c>
      <c r="B96" s="2" t="n">
        <v>0.027264105156064</v>
      </c>
      <c r="C96" s="2">
        <f>B96 - $J$3</f>
        <v/>
      </c>
      <c r="D96" s="2">
        <f>C96^2</f>
        <v/>
      </c>
      <c r="E96" s="2">
        <f>C96^3</f>
        <v/>
      </c>
      <c r="F96" s="2">
        <f>(C96 / $J$5)^3</f>
        <v/>
      </c>
      <c r="G96" s="2">
        <f>(C96 / $J$5)^4</f>
        <v/>
      </c>
    </row>
    <row r="97">
      <c r="A97" s="7" t="inlineStr">
        <is>
          <t>2026-02-14</t>
        </is>
      </c>
      <c r="B97" s="2" t="n">
        <v>0.0312154907733201</v>
      </c>
      <c r="C97" s="2">
        <f>B97 - $J$3</f>
        <v/>
      </c>
      <c r="D97" s="2">
        <f>C97^2</f>
        <v/>
      </c>
      <c r="E97" s="2">
        <f>C97^3</f>
        <v/>
      </c>
      <c r="F97" s="2">
        <f>(C97 / $J$5)^3</f>
        <v/>
      </c>
      <c r="G97" s="2">
        <f>(C97 / $J$5)^4</f>
        <v/>
      </c>
    </row>
    <row r="98">
      <c r="A98" s="7" t="inlineStr">
        <is>
          <t>2026-02-16</t>
        </is>
      </c>
      <c r="B98" s="2" t="n">
        <v>0.0317376032471656</v>
      </c>
      <c r="C98" s="2">
        <f>B98 - $J$3</f>
        <v/>
      </c>
      <c r="D98" s="2">
        <f>C98^2</f>
        <v/>
      </c>
      <c r="E98" s="2">
        <f>C98^3</f>
        <v/>
      </c>
      <c r="F98" s="2">
        <f>(C98 / $J$5)^3</f>
        <v/>
      </c>
      <c r="G98" s="2">
        <f>(C98 / $J$5)^4</f>
        <v/>
      </c>
    </row>
    <row r="99">
      <c r="A99" s="7" t="inlineStr">
        <is>
          <t>2026-02-17</t>
        </is>
      </c>
      <c r="B99" s="2" t="n">
        <v>0.0374043434858322</v>
      </c>
      <c r="C99" s="2">
        <f>B99 - $J$3</f>
        <v/>
      </c>
      <c r="D99" s="2">
        <f>C99^2</f>
        <v/>
      </c>
      <c r="E99" s="2">
        <f>C99^3</f>
        <v/>
      </c>
      <c r="F99" s="2">
        <f>(C99 / $J$5)^3</f>
        <v/>
      </c>
      <c r="G99" s="2">
        <f>(C99 / $J$5)^4</f>
        <v/>
      </c>
    </row>
    <row r="100">
      <c r="A100" s="7" t="inlineStr">
        <is>
          <t>2026-02-19</t>
        </is>
      </c>
      <c r="B100" s="2" t="n">
        <v>0.0293440781533718</v>
      </c>
      <c r="C100" s="2">
        <f>B100 - $J$3</f>
        <v/>
      </c>
      <c r="D100" s="2">
        <f>C100^2</f>
        <v/>
      </c>
      <c r="E100" s="2">
        <f>C100^3</f>
        <v/>
      </c>
      <c r="F100" s="2">
        <f>(C100 / $J$5)^3</f>
        <v/>
      </c>
      <c r="G100" s="2">
        <f>(C100 / $J$5)^4</f>
        <v/>
      </c>
    </row>
    <row r="101">
      <c r="A101" s="7" t="inlineStr">
        <is>
          <t>2026-02-20</t>
        </is>
      </c>
      <c r="B101" s="2" t="n">
        <v>0.0262918975204229</v>
      </c>
      <c r="C101" s="2">
        <f>B101 - $J$3</f>
        <v/>
      </c>
      <c r="D101" s="2">
        <f>C101^2</f>
        <v/>
      </c>
      <c r="E101" s="2">
        <f>C101^3</f>
        <v/>
      </c>
      <c r="F101" s="2">
        <f>(C101 / $J$5)^3</f>
        <v/>
      </c>
      <c r="G101" s="2">
        <f>(C101 / $J$5)^4</f>
        <v/>
      </c>
    </row>
    <row r="102">
      <c r="A102" s="7" t="inlineStr">
        <is>
          <t>2026-02-21</t>
        </is>
      </c>
      <c r="B102" s="2" t="n">
        <v>0.0296402107924222</v>
      </c>
      <c r="C102" s="2">
        <f>B102 - $J$3</f>
        <v/>
      </c>
      <c r="D102" s="2">
        <f>C102^2</f>
        <v/>
      </c>
      <c r="E102" s="2">
        <f>C102^3</f>
        <v/>
      </c>
      <c r="F102" s="2">
        <f>(C102 / $J$5)^3</f>
        <v/>
      </c>
      <c r="G102" s="2">
        <f>(C102 / $J$5)^4</f>
        <v/>
      </c>
    </row>
    <row r="103">
      <c r="A103" s="7" t="inlineStr">
        <is>
          <t>2026-02-22</t>
        </is>
      </c>
      <c r="B103" s="2" t="n">
        <v>0.0266778375953435</v>
      </c>
      <c r="C103" s="2">
        <f>B103 - $J$3</f>
        <v/>
      </c>
      <c r="D103" s="2">
        <f>C103^2</f>
        <v/>
      </c>
      <c r="E103" s="2">
        <f>C103^3</f>
        <v/>
      </c>
      <c r="F103" s="2">
        <f>(C103 / $J$5)^3</f>
        <v/>
      </c>
      <c r="G103" s="2">
        <f>(C103 / $J$5)^4</f>
        <v/>
      </c>
    </row>
    <row r="104">
      <c r="A104" s="7" t="inlineStr">
        <is>
          <t>2026-02-23</t>
        </is>
      </c>
      <c r="B104" s="2" t="n">
        <v>0.0313661508262157</v>
      </c>
      <c r="C104" s="2">
        <f>B104 - $J$3</f>
        <v/>
      </c>
      <c r="D104" s="2">
        <f>C104^2</f>
        <v/>
      </c>
      <c r="E104" s="2">
        <f>C104^3</f>
        <v/>
      </c>
      <c r="F104" s="2">
        <f>(C104 / $J$5)^3</f>
        <v/>
      </c>
      <c r="G104" s="2">
        <f>(C104 / $J$5)^4</f>
        <v/>
      </c>
    </row>
    <row r="105">
      <c r="A105" s="7" t="inlineStr">
        <is>
          <t>2026-02-24</t>
        </is>
      </c>
      <c r="B105" s="2" t="n">
        <v>0.028903130441904</v>
      </c>
      <c r="C105" s="2">
        <f>B105 - $J$3</f>
        <v/>
      </c>
      <c r="D105" s="2">
        <f>C105^2</f>
        <v/>
      </c>
      <c r="E105" s="2">
        <f>C105^3</f>
        <v/>
      </c>
      <c r="F105" s="2">
        <f>(C105 / $J$5)^3</f>
        <v/>
      </c>
      <c r="G105" s="2">
        <f>(C105 / $J$5)^4</f>
        <v/>
      </c>
    </row>
    <row r="106">
      <c r="A106" s="7" t="inlineStr">
        <is>
          <t>2026-02-25</t>
        </is>
      </c>
      <c r="B106" s="2" t="n">
        <v>0.0278944913297891</v>
      </c>
      <c r="C106" s="2">
        <f>B106 - $J$3</f>
        <v/>
      </c>
      <c r="D106" s="2">
        <f>C106^2</f>
        <v/>
      </c>
      <c r="E106" s="2">
        <f>C106^3</f>
        <v/>
      </c>
      <c r="F106" s="2">
        <f>(C106 / $J$5)^3</f>
        <v/>
      </c>
      <c r="G106" s="2">
        <f>(C106 / $J$5)^4</f>
        <v/>
      </c>
    </row>
    <row r="107">
      <c r="A107" s="7" t="inlineStr">
        <is>
          <t>2026-02-26</t>
        </is>
      </c>
      <c r="B107" s="2" t="n">
        <v>0.0298213306814432</v>
      </c>
      <c r="C107" s="2">
        <f>B107 - $J$3</f>
        <v/>
      </c>
      <c r="D107" s="2">
        <f>C107^2</f>
        <v/>
      </c>
      <c r="E107" s="2">
        <f>C107^3</f>
        <v/>
      </c>
      <c r="F107" s="2">
        <f>(C107 / $J$5)^3</f>
        <v/>
      </c>
      <c r="G107" s="2">
        <f>(C107 / $J$5)^4</f>
        <v/>
      </c>
    </row>
    <row r="108">
      <c r="A108" s="7" t="inlineStr">
        <is>
          <t>2026-02-27</t>
        </is>
      </c>
      <c r="B108" s="2" t="n">
        <v>0.0272293165326118</v>
      </c>
      <c r="C108" s="2">
        <f>B108 - $J$3</f>
        <v/>
      </c>
      <c r="D108" s="2">
        <f>C108^2</f>
        <v/>
      </c>
      <c r="E108" s="2">
        <f>C108^3</f>
        <v/>
      </c>
      <c r="F108" s="2">
        <f>(C108 / $J$5)^3</f>
        <v/>
      </c>
      <c r="G108" s="2">
        <f>(C108 / $J$5)^4</f>
        <v/>
      </c>
    </row>
    <row r="109">
      <c r="A109" s="7" t="inlineStr">
        <is>
          <t>2026-03-05</t>
        </is>
      </c>
      <c r="B109" s="2" t="n">
        <v>0.0256495755165815</v>
      </c>
      <c r="C109" s="2">
        <f>B109 - $J$3</f>
        <v/>
      </c>
      <c r="D109" s="2">
        <f>C109^2</f>
        <v/>
      </c>
      <c r="E109" s="2">
        <f>C109^3</f>
        <v/>
      </c>
      <c r="F109" s="2">
        <f>(C109 / $J$5)^3</f>
        <v/>
      </c>
      <c r="G109" s="2">
        <f>(C109 / $J$5)^4</f>
        <v/>
      </c>
    </row>
    <row r="110">
      <c r="A110" s="7" t="inlineStr">
        <is>
          <t>2026-03-06</t>
        </is>
      </c>
      <c r="B110" s="2" t="n">
        <v>0.0200358051806688</v>
      </c>
      <c r="C110" s="2">
        <f>B110 - $J$3</f>
        <v/>
      </c>
      <c r="D110" s="2">
        <f>C110^2</f>
        <v/>
      </c>
      <c r="E110" s="2">
        <f>C110^3</f>
        <v/>
      </c>
      <c r="F110" s="2">
        <f>(C110 / $J$5)^3</f>
        <v/>
      </c>
      <c r="G110" s="2">
        <f>(C110 / $J$5)^4</f>
        <v/>
      </c>
    </row>
    <row r="111">
      <c r="A111" s="7" t="inlineStr">
        <is>
          <t>2026-03-08</t>
        </is>
      </c>
      <c r="B111" s="2" t="n">
        <v>0.031139763072133</v>
      </c>
      <c r="C111" s="2">
        <f>B111 - $J$3</f>
        <v/>
      </c>
      <c r="D111" s="2">
        <f>C111^2</f>
        <v/>
      </c>
      <c r="E111" s="2">
        <f>C111^3</f>
        <v/>
      </c>
      <c r="F111" s="2">
        <f>(C111 / $J$5)^3</f>
        <v/>
      </c>
      <c r="G111" s="2">
        <f>(C111 / $J$5)^4</f>
        <v/>
      </c>
    </row>
    <row r="112">
      <c r="A112" s="7" t="inlineStr">
        <is>
          <t>2026-03-09</t>
        </is>
      </c>
      <c r="B112" s="2" t="n">
        <v>0.0319352410733699</v>
      </c>
      <c r="C112" s="2">
        <f>B112 - $J$3</f>
        <v/>
      </c>
      <c r="D112" s="2">
        <f>C112^2</f>
        <v/>
      </c>
      <c r="E112" s="2">
        <f>C112^3</f>
        <v/>
      </c>
      <c r="F112" s="2">
        <f>(C112 / $J$5)^3</f>
        <v/>
      </c>
      <c r="G112" s="2">
        <f>(C112 / $J$5)^4</f>
        <v/>
      </c>
    </row>
    <row r="113">
      <c r="A113" s="7" t="inlineStr">
        <is>
          <t>2026-03-10</t>
        </is>
      </c>
      <c r="B113" s="2" t="n">
        <v>0.0263140574097633</v>
      </c>
      <c r="C113" s="2">
        <f>B113 - $J$3</f>
        <v/>
      </c>
      <c r="D113" s="2">
        <f>C113^2</f>
        <v/>
      </c>
      <c r="E113" s="2">
        <f>C113^3</f>
        <v/>
      </c>
      <c r="F113" s="2">
        <f>(C113 / $J$5)^3</f>
        <v/>
      </c>
      <c r="G113" s="2">
        <f>(C113 / $J$5)^4</f>
        <v/>
      </c>
    </row>
    <row r="114">
      <c r="A114" s="7" t="inlineStr">
        <is>
          <t>2026-03-11</t>
        </is>
      </c>
      <c r="B114" s="2" t="n">
        <v>0.0300308316946029</v>
      </c>
      <c r="C114" s="2">
        <f>B114 - $J$3</f>
        <v/>
      </c>
      <c r="D114" s="2">
        <f>C114^2</f>
        <v/>
      </c>
      <c r="E114" s="2">
        <f>C114^3</f>
        <v/>
      </c>
      <c r="F114" s="2">
        <f>(C114 / $J$5)^3</f>
        <v/>
      </c>
      <c r="G114" s="2">
        <f>(C114 / $J$5)^4</f>
        <v/>
      </c>
    </row>
    <row r="115">
      <c r="A115" s="7" t="inlineStr">
        <is>
          <t>2026-03-12</t>
        </is>
      </c>
      <c r="B115" s="2" t="n">
        <v>0.030563149601221</v>
      </c>
      <c r="C115" s="2">
        <f>B115 - $J$3</f>
        <v/>
      </c>
      <c r="D115" s="2">
        <f>C115^2</f>
        <v/>
      </c>
      <c r="E115" s="2">
        <f>C115^3</f>
        <v/>
      </c>
      <c r="F115" s="2">
        <f>(C115 / $J$5)^3</f>
        <v/>
      </c>
      <c r="G115" s="2">
        <f>(C115 / $J$5)^4</f>
        <v/>
      </c>
    </row>
    <row r="116">
      <c r="A116" s="7" t="inlineStr">
        <is>
          <t>2026-03-13</t>
        </is>
      </c>
      <c r="B116" s="2" t="n">
        <v>0.0308564361184835</v>
      </c>
      <c r="C116" s="2">
        <f>B116 - $J$3</f>
        <v/>
      </c>
      <c r="D116" s="2">
        <f>C116^2</f>
        <v/>
      </c>
      <c r="E116" s="2">
        <f>C116^3</f>
        <v/>
      </c>
      <c r="F116" s="2">
        <f>(C116 / $J$5)^3</f>
        <v/>
      </c>
      <c r="G116" s="2">
        <f>(C116 / $J$5)^4</f>
        <v/>
      </c>
    </row>
    <row r="117">
      <c r="A117" s="7" t="inlineStr">
        <is>
          <t>2026-03-14</t>
        </is>
      </c>
      <c r="B117" s="2" t="n">
        <v>0.0260120891034603</v>
      </c>
      <c r="C117" s="2">
        <f>B117 - $J$3</f>
        <v/>
      </c>
      <c r="D117" s="2">
        <f>C117^2</f>
        <v/>
      </c>
      <c r="E117" s="2">
        <f>C117^3</f>
        <v/>
      </c>
      <c r="F117" s="2">
        <f>(C117 / $J$5)^3</f>
        <v/>
      </c>
      <c r="G117" s="2">
        <f>(C117 / $J$5)^4</f>
        <v/>
      </c>
    </row>
    <row r="118">
      <c r="A118" s="7" t="inlineStr">
        <is>
          <t>2026-03-16</t>
        </is>
      </c>
      <c r="B118" s="2" t="n">
        <v>0.0333956480026245</v>
      </c>
      <c r="C118" s="2">
        <f>B118 - $J$3</f>
        <v/>
      </c>
      <c r="D118" s="2">
        <f>C118^2</f>
        <v/>
      </c>
      <c r="E118" s="2">
        <f>C118^3</f>
        <v/>
      </c>
      <c r="F118" s="2">
        <f>(C118 / $J$5)^3</f>
        <v/>
      </c>
      <c r="G118" s="2">
        <f>(C118 / $J$5)^4</f>
        <v/>
      </c>
    </row>
    <row r="119">
      <c r="A119" s="7" t="inlineStr">
        <is>
          <t>2026-03-17</t>
        </is>
      </c>
      <c r="B119" s="2" t="n">
        <v>0.0341346375644207</v>
      </c>
      <c r="C119" s="2">
        <f>B119 - $J$3</f>
        <v/>
      </c>
      <c r="D119" s="2">
        <f>C119^2</f>
        <v/>
      </c>
      <c r="E119" s="2">
        <f>C119^3</f>
        <v/>
      </c>
      <c r="F119" s="2">
        <f>(C119 / $J$5)^3</f>
        <v/>
      </c>
      <c r="G119" s="2">
        <f>(C119 / $J$5)^4</f>
        <v/>
      </c>
    </row>
    <row r="120">
      <c r="A120" s="7" t="inlineStr">
        <is>
          <t>2026-03-18</t>
        </is>
      </c>
      <c r="B120" s="2" t="n">
        <v>0.0335194952785968</v>
      </c>
      <c r="C120" s="2">
        <f>B120 - $J$3</f>
        <v/>
      </c>
      <c r="D120" s="2">
        <f>C120^2</f>
        <v/>
      </c>
      <c r="E120" s="2">
        <f>C120^3</f>
        <v/>
      </c>
      <c r="F120" s="2">
        <f>(C120 / $J$5)^3</f>
        <v/>
      </c>
      <c r="G120" s="2">
        <f>(C120 / $J$5)^4</f>
        <v/>
      </c>
    </row>
    <row r="121">
      <c r="A121" s="7" t="inlineStr">
        <is>
          <t>2026-03-19</t>
        </is>
      </c>
      <c r="B121" s="2" t="n">
        <v>0.0331432595849037</v>
      </c>
      <c r="C121" s="2">
        <f>B121 - $J$3</f>
        <v/>
      </c>
      <c r="D121" s="2">
        <f>C121^2</f>
        <v/>
      </c>
      <c r="E121" s="2">
        <f>C121^3</f>
        <v/>
      </c>
      <c r="F121" s="2">
        <f>(C121 / $J$5)^3</f>
        <v/>
      </c>
      <c r="G121" s="2">
        <f>(C121 / $J$5)^4</f>
        <v/>
      </c>
    </row>
    <row r="122">
      <c r="A122" s="7" t="inlineStr">
        <is>
          <t>2026-03-20</t>
        </is>
      </c>
      <c r="B122" s="2" t="n">
        <v>0.030226033180952</v>
      </c>
      <c r="C122" s="2">
        <f>B122 - $J$3</f>
        <v/>
      </c>
      <c r="D122" s="2">
        <f>C122^2</f>
        <v/>
      </c>
      <c r="E122" s="2">
        <f>C122^3</f>
        <v/>
      </c>
      <c r="F122" s="2">
        <f>(C122 / $J$5)^3</f>
        <v/>
      </c>
      <c r="G122" s="2">
        <f>(C122 / $J$5)^4</f>
        <v/>
      </c>
    </row>
    <row r="123">
      <c r="A123" s="7" t="inlineStr">
        <is>
          <t>2026-03-21</t>
        </is>
      </c>
      <c r="B123" s="2" t="n">
        <v>0.0362890884280204</v>
      </c>
      <c r="C123" s="2">
        <f>B123 - $J$3</f>
        <v/>
      </c>
      <c r="D123" s="2">
        <f>C123^2</f>
        <v/>
      </c>
      <c r="E123" s="2">
        <f>C123^3</f>
        <v/>
      </c>
      <c r="F123" s="2">
        <f>(C123 / $J$5)^3</f>
        <v/>
      </c>
      <c r="G123" s="2">
        <f>(C123 / $J$5)^4</f>
        <v/>
      </c>
    </row>
    <row r="124">
      <c r="A124" s="7" t="inlineStr">
        <is>
          <t>2026-03-22</t>
        </is>
      </c>
      <c r="B124" s="2" t="n">
        <v>0.0358978621661663</v>
      </c>
      <c r="C124" s="2">
        <f>B124 - $J$3</f>
        <v/>
      </c>
      <c r="D124" s="2">
        <f>C124^2</f>
        <v/>
      </c>
      <c r="E124" s="2">
        <f>C124^3</f>
        <v/>
      </c>
      <c r="F124" s="2">
        <f>(C124 / $J$5)^3</f>
        <v/>
      </c>
      <c r="G124" s="2">
        <f>(C124 / $J$5)^4</f>
        <v/>
      </c>
    </row>
    <row r="125">
      <c r="A125" s="7" t="inlineStr">
        <is>
          <t>2026-03-23</t>
        </is>
      </c>
      <c r="B125" s="2" t="n">
        <v>0.0287828929722309</v>
      </c>
      <c r="C125" s="2">
        <f>B125 - $J$3</f>
        <v/>
      </c>
      <c r="D125" s="2">
        <f>C125^2</f>
        <v/>
      </c>
      <c r="E125" s="2">
        <f>C125^3</f>
        <v/>
      </c>
      <c r="F125" s="2">
        <f>(C125 / $J$5)^3</f>
        <v/>
      </c>
      <c r="G125" s="2">
        <f>(C125 / $J$5)^4</f>
        <v/>
      </c>
    </row>
    <row r="126">
      <c r="A126" s="7" t="inlineStr">
        <is>
          <t>2026-03-24</t>
        </is>
      </c>
      <c r="B126" s="2" t="n">
        <v>0.0334334447979927</v>
      </c>
      <c r="C126" s="2">
        <f>B126 - $J$3</f>
        <v/>
      </c>
      <c r="D126" s="2">
        <f>C126^2</f>
        <v/>
      </c>
      <c r="E126" s="2">
        <f>C126^3</f>
        <v/>
      </c>
      <c r="F126" s="2">
        <f>(C126 / $J$5)^3</f>
        <v/>
      </c>
      <c r="G126" s="2">
        <f>(C126 / $J$5)^4</f>
        <v/>
      </c>
    </row>
    <row r="127">
      <c r="A127" s="7" t="inlineStr">
        <is>
          <t>2026-03-26</t>
        </is>
      </c>
      <c r="B127" s="2" t="n">
        <v>0.0244485139846801</v>
      </c>
      <c r="C127" s="2">
        <f>B127 - $J$3</f>
        <v/>
      </c>
      <c r="D127" s="2">
        <f>C127^2</f>
        <v/>
      </c>
      <c r="E127" s="2">
        <f>C127^3</f>
        <v/>
      </c>
      <c r="F127" s="2">
        <f>(C127 / $J$5)^3</f>
        <v/>
      </c>
      <c r="G127" s="2">
        <f>(C127 / $J$5)^4</f>
        <v/>
      </c>
    </row>
    <row r="128">
      <c r="A128" s="7" t="inlineStr">
        <is>
          <t>2026-03-27</t>
        </is>
      </c>
      <c r="B128" s="2" t="n">
        <v>0.0378015600144863</v>
      </c>
      <c r="C128" s="2">
        <f>B128 - $J$3</f>
        <v/>
      </c>
      <c r="D128" s="2">
        <f>C128^2</f>
        <v/>
      </c>
      <c r="E128" s="2">
        <f>C128^3</f>
        <v/>
      </c>
      <c r="F128" s="2">
        <f>(C128 / $J$5)^3</f>
        <v/>
      </c>
      <c r="G128" s="2">
        <f>(C128 / $J$5)^4</f>
        <v/>
      </c>
    </row>
    <row r="129">
      <c r="A129" s="7" t="inlineStr">
        <is>
          <t>2026-03-28</t>
        </is>
      </c>
      <c r="B129" s="2" t="n">
        <v>0.0279424414038658</v>
      </c>
      <c r="C129" s="2">
        <f>B129 - $J$3</f>
        <v/>
      </c>
      <c r="D129" s="2">
        <f>C129^2</f>
        <v/>
      </c>
      <c r="E129" s="2">
        <f>C129^3</f>
        <v/>
      </c>
      <c r="F129" s="2">
        <f>(C129 / $J$5)^3</f>
        <v/>
      </c>
      <c r="G129" s="2">
        <f>(C129 / $J$5)^4</f>
        <v/>
      </c>
    </row>
    <row r="130">
      <c r="A130" s="7" t="inlineStr">
        <is>
          <t>2026-03-30</t>
        </is>
      </c>
      <c r="B130" s="2" t="n">
        <v>0.0263126976788043</v>
      </c>
      <c r="C130" s="2">
        <f>B130 - $J$3</f>
        <v/>
      </c>
      <c r="D130" s="2">
        <f>C130^2</f>
        <v/>
      </c>
      <c r="E130" s="2">
        <f>C130^3</f>
        <v/>
      </c>
      <c r="F130" s="2">
        <f>(C130 / $J$5)^3</f>
        <v/>
      </c>
      <c r="G130" s="2">
        <f>(C130 / $J$5)^4</f>
        <v/>
      </c>
    </row>
    <row r="131">
      <c r="A131" s="7" t="inlineStr">
        <is>
          <t>2026-03-31</t>
        </is>
      </c>
      <c r="B131" s="2" t="n">
        <v>0.030002387240529</v>
      </c>
      <c r="C131" s="2">
        <f>B131 - $J$3</f>
        <v/>
      </c>
      <c r="D131" s="2">
        <f>C131^2</f>
        <v/>
      </c>
      <c r="E131" s="2">
        <f>C131^3</f>
        <v/>
      </c>
      <c r="F131" s="2">
        <f>(C131 / $J$5)^3</f>
        <v/>
      </c>
      <c r="G131" s="2">
        <f>(C131 / $J$5)^4</f>
        <v/>
      </c>
    </row>
    <row r="132">
      <c r="A132" s="7" t="inlineStr">
        <is>
          <t>2026-04-02</t>
        </is>
      </c>
      <c r="B132" s="2" t="n">
        <v>0.0254976134747266</v>
      </c>
      <c r="C132" s="2">
        <f>B132 - $J$3</f>
        <v/>
      </c>
      <c r="D132" s="2">
        <f>C132^2</f>
        <v/>
      </c>
      <c r="E132" s="2">
        <f>C132^3</f>
        <v/>
      </c>
      <c r="F132" s="2">
        <f>(C132 / $J$5)^3</f>
        <v/>
      </c>
      <c r="G132" s="2">
        <f>(C132 / $J$5)^4</f>
        <v/>
      </c>
    </row>
    <row r="133">
      <c r="A133" s="7" t="inlineStr">
        <is>
          <t>2026-04-04</t>
        </is>
      </c>
      <c r="B133" s="2" t="n">
        <v>0.0268109329044818</v>
      </c>
      <c r="C133" s="2">
        <f>B133 - $J$3</f>
        <v/>
      </c>
      <c r="D133" s="2">
        <f>C133^2</f>
        <v/>
      </c>
      <c r="E133" s="2">
        <f>C133^3</f>
        <v/>
      </c>
      <c r="F133" s="2">
        <f>(C133 / $J$5)^3</f>
        <v/>
      </c>
      <c r="G133" s="2">
        <f>(C133 / $J$5)^4</f>
        <v/>
      </c>
    </row>
    <row r="134">
      <c r="A134" s="7" t="inlineStr">
        <is>
          <t>2026-04-07</t>
        </is>
      </c>
      <c r="B134" s="2" t="n">
        <v>0.0263190474361181</v>
      </c>
      <c r="C134" s="2">
        <f>B134 - $J$3</f>
        <v/>
      </c>
      <c r="D134" s="2">
        <f>C134^2</f>
        <v/>
      </c>
      <c r="E134" s="2">
        <f>C134^3</f>
        <v/>
      </c>
      <c r="F134" s="2">
        <f>(C134 / $J$5)^3</f>
        <v/>
      </c>
      <c r="G134" s="2">
        <f>(C134 / $J$5)^4</f>
        <v/>
      </c>
    </row>
    <row r="135">
      <c r="A135" s="7" t="inlineStr">
        <is>
          <t>2026-04-09</t>
        </is>
      </c>
      <c r="B135" s="2" t="n">
        <v>0.0303496979176998</v>
      </c>
      <c r="C135" s="2">
        <f>B135 - $J$3</f>
        <v/>
      </c>
      <c r="D135" s="2">
        <f>C135^2</f>
        <v/>
      </c>
      <c r="E135" s="2">
        <f>C135^3</f>
        <v/>
      </c>
      <c r="F135" s="2">
        <f>(C135 / $J$5)^3</f>
        <v/>
      </c>
      <c r="G135" s="2">
        <f>(C135 / $J$5)^4</f>
        <v/>
      </c>
    </row>
    <row r="136">
      <c r="A136" s="7" t="inlineStr">
        <is>
          <t>2026-04-12</t>
        </is>
      </c>
      <c r="B136" s="2" t="n">
        <v>0.0287522040307521</v>
      </c>
      <c r="C136" s="2">
        <f>B136 - $J$3</f>
        <v/>
      </c>
      <c r="D136" s="2">
        <f>C136^2</f>
        <v/>
      </c>
      <c r="E136" s="2">
        <f>C136^3</f>
        <v/>
      </c>
      <c r="F136" s="2">
        <f>(C136 / $J$5)^3</f>
        <v/>
      </c>
      <c r="G136" s="2">
        <f>(C136 / $J$5)^4</f>
        <v/>
      </c>
    </row>
    <row r="137">
      <c r="A137" s="7" t="inlineStr">
        <is>
          <t>2026-04-15</t>
        </is>
      </c>
      <c r="B137" s="2" t="n">
        <v>0.0268841441720724</v>
      </c>
      <c r="C137" s="2">
        <f>B137 - $J$3</f>
        <v/>
      </c>
      <c r="D137" s="2">
        <f>C137^2</f>
        <v/>
      </c>
      <c r="E137" s="2">
        <f>C137^3</f>
        <v/>
      </c>
      <c r="F137" s="2">
        <f>(C137 / $J$5)^3</f>
        <v/>
      </c>
      <c r="G137" s="2">
        <f>(C137 / $J$5)^4</f>
        <v/>
      </c>
    </row>
    <row r="138">
      <c r="A138" s="7" t="inlineStr">
        <is>
          <t>2026-04-18</t>
        </is>
      </c>
      <c r="B138" s="2" t="n">
        <v>0.0278212521225214</v>
      </c>
      <c r="C138" s="2">
        <f>B138 - $J$3</f>
        <v/>
      </c>
      <c r="D138" s="2">
        <f>C138^2</f>
        <v/>
      </c>
      <c r="E138" s="2">
        <f>C138^3</f>
        <v/>
      </c>
      <c r="F138" s="2">
        <f>(C138 / $J$5)^3</f>
        <v/>
      </c>
      <c r="G138" s="2">
        <f>(C138 / $J$5)^4</f>
        <v/>
      </c>
    </row>
    <row r="139">
      <c r="A139" s="7" t="inlineStr">
        <is>
          <t>2026-04-19</t>
        </is>
      </c>
      <c r="B139" s="2" t="n">
        <v>0.0311903525143861</v>
      </c>
      <c r="C139" s="2">
        <f>B139 - $J$3</f>
        <v/>
      </c>
      <c r="D139" s="2">
        <f>C139^2</f>
        <v/>
      </c>
      <c r="E139" s="2">
        <f>C139^3</f>
        <v/>
      </c>
      <c r="F139" s="2">
        <f>(C139 / $J$5)^3</f>
        <v/>
      </c>
      <c r="G139" s="2">
        <f>(C139 / $J$5)^4</f>
        <v/>
      </c>
    </row>
    <row r="140">
      <c r="A140" s="7" t="inlineStr">
        <is>
          <t>2026-04-20</t>
        </is>
      </c>
      <c r="B140" s="2" t="n">
        <v>0.0301683824509382</v>
      </c>
      <c r="C140" s="2">
        <f>B140 - $J$3</f>
        <v/>
      </c>
      <c r="D140" s="2">
        <f>C140^2</f>
        <v/>
      </c>
      <c r="E140" s="2">
        <f>C140^3</f>
        <v/>
      </c>
      <c r="F140" s="2">
        <f>(C140 / $J$5)^3</f>
        <v/>
      </c>
      <c r="G140" s="2">
        <f>(C140 / $J$5)^4</f>
        <v/>
      </c>
    </row>
    <row r="141">
      <c r="A141" s="7" t="inlineStr">
        <is>
          <t>2026-04-21</t>
        </is>
      </c>
      <c r="B141" s="2" t="n">
        <v>0.0294977501034736</v>
      </c>
      <c r="C141" s="2">
        <f>B141 - $J$3</f>
        <v/>
      </c>
      <c r="D141" s="2">
        <f>C141^2</f>
        <v/>
      </c>
      <c r="E141" s="2">
        <f>C141^3</f>
        <v/>
      </c>
      <c r="F141" s="2">
        <f>(C141 / $J$5)^3</f>
        <v/>
      </c>
      <c r="G141" s="2">
        <f>(C141 / $J$5)^4</f>
        <v/>
      </c>
    </row>
    <row r="142">
      <c r="A142" s="7" t="inlineStr">
        <is>
          <t>2026-04-25</t>
        </is>
      </c>
      <c r="B142" s="2" t="n">
        <v>0.0282442700117826</v>
      </c>
      <c r="C142" s="2">
        <f>B142 - $J$3</f>
        <v/>
      </c>
      <c r="D142" s="2">
        <f>C142^2</f>
        <v/>
      </c>
      <c r="E142" s="2">
        <f>C142^3</f>
        <v/>
      </c>
      <c r="F142" s="2">
        <f>(C142 / $J$5)^3</f>
        <v/>
      </c>
      <c r="G142" s="2">
        <f>(C142 / $J$5)^4</f>
        <v/>
      </c>
    </row>
    <row r="143">
      <c r="A143" s="7" t="inlineStr">
        <is>
          <t>2026-04-26</t>
        </is>
      </c>
      <c r="B143" s="2" t="n">
        <v>0.0272543355822563</v>
      </c>
      <c r="C143" s="2">
        <f>B143 - $J$3</f>
        <v/>
      </c>
      <c r="D143" s="2">
        <f>C143^2</f>
        <v/>
      </c>
      <c r="E143" s="2">
        <f>C143^3</f>
        <v/>
      </c>
      <c r="F143" s="2">
        <f>(C143 / $J$5)^3</f>
        <v/>
      </c>
      <c r="G143" s="2">
        <f>(C143 / $J$5)^4</f>
        <v/>
      </c>
    </row>
    <row r="144">
      <c r="A144" s="7" t="inlineStr">
        <is>
          <t>2026-04-27</t>
        </is>
      </c>
      <c r="B144" s="2" t="n">
        <v>0.0281547158956527</v>
      </c>
      <c r="C144" s="2">
        <f>B144 - $J$3</f>
        <v/>
      </c>
      <c r="D144" s="2">
        <f>C144^2</f>
        <v/>
      </c>
      <c r="E144" s="2">
        <f>C144^3</f>
        <v/>
      </c>
      <c r="F144" s="2">
        <f>(C144 / $J$5)^3</f>
        <v/>
      </c>
      <c r="G144" s="2">
        <f>(C144 / $J$5)^4</f>
        <v/>
      </c>
    </row>
    <row r="145">
      <c r="A145" s="7" t="inlineStr">
        <is>
          <t>2026-04-29</t>
        </is>
      </c>
      <c r="B145" s="2" t="n">
        <v>0.0223945062607526</v>
      </c>
      <c r="C145" s="2">
        <f>B145 - $J$3</f>
        <v/>
      </c>
      <c r="D145" s="2">
        <f>C145^2</f>
        <v/>
      </c>
      <c r="E145" s="2">
        <f>C145^3</f>
        <v/>
      </c>
      <c r="F145" s="2">
        <f>(C145 / $J$5)^3</f>
        <v/>
      </c>
      <c r="G145" s="2">
        <f>(C145 / $J$5)^4</f>
        <v/>
      </c>
    </row>
    <row r="146">
      <c r="A146" s="7" t="inlineStr">
        <is>
          <t>2026-05-03</t>
        </is>
      </c>
      <c r="B146" s="2" t="n">
        <v>0.0252226293087005</v>
      </c>
      <c r="C146" s="2">
        <f>B146 - $J$3</f>
        <v/>
      </c>
      <c r="D146" s="2">
        <f>C146^2</f>
        <v/>
      </c>
      <c r="E146" s="2">
        <f>C146^3</f>
        <v/>
      </c>
      <c r="F146" s="2">
        <f>(C146 / $J$5)^3</f>
        <v/>
      </c>
      <c r="G146" s="2">
        <f>(C146 / $J$5)^4</f>
        <v/>
      </c>
    </row>
    <row r="147">
      <c r="A147" s="7" t="inlineStr">
        <is>
          <t>2026-05-06</t>
        </is>
      </c>
      <c r="B147" s="2" t="n">
        <v>0.0205680690705776</v>
      </c>
      <c r="C147" s="2">
        <f>B147 - $J$3</f>
        <v/>
      </c>
      <c r="D147" s="2">
        <f>C147^2</f>
        <v/>
      </c>
      <c r="E147" s="2">
        <f>C147^3</f>
        <v/>
      </c>
      <c r="F147" s="2">
        <f>(C147 / $J$5)^3</f>
        <v/>
      </c>
      <c r="G147" s="2">
        <f>(C147 / $J$5)^4</f>
        <v/>
      </c>
    </row>
    <row r="148">
      <c r="A148" s="7" t="inlineStr">
        <is>
          <t>2026-05-07</t>
        </is>
      </c>
      <c r="B148" s="2" t="n">
        <v>0.0210923086851835</v>
      </c>
      <c r="C148" s="2">
        <f>B148 - $J$3</f>
        <v/>
      </c>
      <c r="D148" s="2">
        <f>C148^2</f>
        <v/>
      </c>
      <c r="E148" s="2">
        <f>C148^3</f>
        <v/>
      </c>
      <c r="F148" s="2">
        <f>(C148 / $J$5)^3</f>
        <v/>
      </c>
      <c r="G148" s="2">
        <f>(C148 / $J$5)^4</f>
        <v/>
      </c>
    </row>
    <row r="149">
      <c r="A149" s="7" t="inlineStr">
        <is>
          <t>2026-05-08</t>
        </is>
      </c>
      <c r="B149" s="2" t="n">
        <v>0.0294567998498678</v>
      </c>
      <c r="C149" s="2">
        <f>B149 - $J$3</f>
        <v/>
      </c>
      <c r="D149" s="2">
        <f>C149^2</f>
        <v/>
      </c>
      <c r="E149" s="2">
        <f>C149^3</f>
        <v/>
      </c>
      <c r="F149" s="2">
        <f>(C149 / $J$5)^3</f>
        <v/>
      </c>
      <c r="G149" s="2">
        <f>(C149 / $J$5)^4</f>
        <v/>
      </c>
    </row>
    <row r="150">
      <c r="A150" s="7" t="inlineStr">
        <is>
          <t>2026-05-11</t>
        </is>
      </c>
      <c r="B150" s="2" t="n">
        <v>0.0312447883188724</v>
      </c>
      <c r="C150" s="2">
        <f>B150 - $J$3</f>
        <v/>
      </c>
      <c r="D150" s="2">
        <f>C150^2</f>
        <v/>
      </c>
      <c r="E150" s="2">
        <f>C150^3</f>
        <v/>
      </c>
      <c r="F150" s="2">
        <f>(C150 / $J$5)^3</f>
        <v/>
      </c>
      <c r="G150" s="2">
        <f>(C150 / $J$5)^4</f>
        <v/>
      </c>
    </row>
    <row r="151">
      <c r="A151" s="7" t="inlineStr">
        <is>
          <t>2026-05-12</t>
        </is>
      </c>
      <c r="B151" s="2" t="n">
        <v>0.0286709442734718</v>
      </c>
      <c r="C151" s="2">
        <f>B151 - $J$3</f>
        <v/>
      </c>
      <c r="D151" s="2">
        <f>C151^2</f>
        <v/>
      </c>
      <c r="E151" s="2">
        <f>C151^3</f>
        <v/>
      </c>
      <c r="F151" s="2">
        <f>(C151 / $J$5)^3</f>
        <v/>
      </c>
      <c r="G151" s="2">
        <f>(C151 / $J$5)^4</f>
        <v/>
      </c>
    </row>
    <row r="152">
      <c r="A152" s="7" t="inlineStr">
        <is>
          <t>2026-05-13</t>
        </is>
      </c>
      <c r="B152" s="2" t="n">
        <v>0.030390590429306</v>
      </c>
      <c r="C152" s="2">
        <f>B152 - $J$3</f>
        <v/>
      </c>
      <c r="D152" s="2">
        <f>C152^2</f>
        <v/>
      </c>
      <c r="E152" s="2">
        <f>C152^3</f>
        <v/>
      </c>
      <c r="F152" s="2">
        <f>(C152 / $J$5)^3</f>
        <v/>
      </c>
      <c r="G152" s="2">
        <f>(C152 / $J$5)^4</f>
        <v/>
      </c>
    </row>
    <row r="153">
      <c r="A153" s="7" t="inlineStr">
        <is>
          <t>2026-05-14</t>
        </is>
      </c>
      <c r="B153" s="2" t="n">
        <v>0.0273763127624988</v>
      </c>
      <c r="C153" s="2">
        <f>B153 - $J$3</f>
        <v/>
      </c>
      <c r="D153" s="2">
        <f>C153^2</f>
        <v/>
      </c>
      <c r="E153" s="2">
        <f>C153^3</f>
        <v/>
      </c>
      <c r="F153" s="2">
        <f>(C153 / $J$5)^3</f>
        <v/>
      </c>
      <c r="G153" s="2">
        <f>(C153 / $J$5)^4</f>
        <v/>
      </c>
    </row>
    <row r="154">
      <c r="A154" s="7" t="inlineStr">
        <is>
          <t>2026-05-15</t>
        </is>
      </c>
      <c r="B154" s="2" t="n">
        <v>0.0356188900768756</v>
      </c>
      <c r="C154" s="2">
        <f>B154 - $J$3</f>
        <v/>
      </c>
      <c r="D154" s="2">
        <f>C154^2</f>
        <v/>
      </c>
      <c r="E154" s="2">
        <f>C154^3</f>
        <v/>
      </c>
      <c r="F154" s="2">
        <f>(C154 / $J$5)^3</f>
        <v/>
      </c>
      <c r="G154" s="2">
        <f>(C154 / $J$5)^4</f>
        <v/>
      </c>
    </row>
    <row r="155">
      <c r="A155" s="7" t="inlineStr">
        <is>
          <t>2026-05-16</t>
        </is>
      </c>
      <c r="B155" s="2" t="n">
        <v>0.0340810604393482</v>
      </c>
      <c r="C155" s="2">
        <f>B155 - $J$3</f>
        <v/>
      </c>
      <c r="D155" s="2">
        <f>C155^2</f>
        <v/>
      </c>
      <c r="E155" s="2">
        <f>C155^3</f>
        <v/>
      </c>
      <c r="F155" s="2">
        <f>(C155 / $J$5)^3</f>
        <v/>
      </c>
      <c r="G155" s="2">
        <f>(C155 / $J$5)^4</f>
        <v/>
      </c>
    </row>
    <row r="156">
      <c r="A156" s="7" t="inlineStr">
        <is>
          <t>2026-05-23</t>
        </is>
      </c>
      <c r="B156" s="2" t="n">
        <v>0.0269550736993551</v>
      </c>
      <c r="C156" s="2">
        <f>B156 - $J$3</f>
        <v/>
      </c>
      <c r="D156" s="2">
        <f>C156^2</f>
        <v/>
      </c>
      <c r="E156" s="2">
        <f>C156^3</f>
        <v/>
      </c>
      <c r="F156" s="2">
        <f>(C156 / $J$5)^3</f>
        <v/>
      </c>
      <c r="G156" s="2">
        <f>(C156 / $J$5)^4</f>
        <v/>
      </c>
    </row>
    <row r="157">
      <c r="A157" s="7" t="inlineStr">
        <is>
          <t>2026-05-24</t>
        </is>
      </c>
      <c r="B157" s="2" t="n">
        <v>0.0290435310453176</v>
      </c>
      <c r="C157" s="2">
        <f>B157 - $J$3</f>
        <v/>
      </c>
      <c r="D157" s="2">
        <f>C157^2</f>
        <v/>
      </c>
      <c r="E157" s="2">
        <f>C157^3</f>
        <v/>
      </c>
      <c r="F157" s="2">
        <f>(C157 / $J$5)^3</f>
        <v/>
      </c>
      <c r="G157" s="2">
        <f>(C157 / $J$5)^4</f>
        <v/>
      </c>
    </row>
    <row r="158">
      <c r="A158" s="7" t="inlineStr">
        <is>
          <t>2026-05-25</t>
        </is>
      </c>
      <c r="B158" s="2" t="n">
        <v>0.0309909954667091</v>
      </c>
      <c r="C158" s="2">
        <f>B158 - $J$3</f>
        <v/>
      </c>
      <c r="D158" s="2">
        <f>C158^2</f>
        <v/>
      </c>
      <c r="E158" s="2">
        <f>C158^3</f>
        <v/>
      </c>
      <c r="F158" s="2">
        <f>(C158 / $J$5)^3</f>
        <v/>
      </c>
      <c r="G158" s="2">
        <f>(C158 / $J$5)^4</f>
        <v/>
      </c>
    </row>
    <row r="159">
      <c r="A159" s="7" t="inlineStr">
        <is>
          <t>2026-05-28</t>
        </is>
      </c>
      <c r="B159" s="2" t="n">
        <v>0.0241511687636375</v>
      </c>
      <c r="C159" s="2">
        <f>B159 - $J$3</f>
        <v/>
      </c>
      <c r="D159" s="2">
        <f>C159^2</f>
        <v/>
      </c>
      <c r="E159" s="2">
        <f>C159^3</f>
        <v/>
      </c>
      <c r="F159" s="2">
        <f>(C159 / $J$5)^3</f>
        <v/>
      </c>
      <c r="G159" s="2">
        <f>(C159 / $J$5)^4</f>
        <v/>
      </c>
    </row>
    <row r="160">
      <c r="A160" s="7" t="inlineStr">
        <is>
          <t>2026-05-30</t>
        </is>
      </c>
      <c r="B160" s="2" t="n">
        <v>0.0250260327011346</v>
      </c>
      <c r="C160" s="2">
        <f>B160 - $J$3</f>
        <v/>
      </c>
      <c r="D160" s="2">
        <f>C160^2</f>
        <v/>
      </c>
      <c r="E160" s="2">
        <f>C160^3</f>
        <v/>
      </c>
      <c r="F160" s="2">
        <f>(C160 / $J$5)^3</f>
        <v/>
      </c>
      <c r="G160" s="2">
        <f>(C160 / $J$5)^4</f>
        <v/>
      </c>
    </row>
    <row r="161">
      <c r="A161" s="7" t="inlineStr">
        <is>
          <t>2026-06-01</t>
        </is>
      </c>
      <c r="B161" s="2" t="n">
        <v>0.0238064005970954</v>
      </c>
      <c r="C161" s="2">
        <f>B161 - $J$3</f>
        <v/>
      </c>
      <c r="D161" s="2">
        <f>C161^2</f>
        <v/>
      </c>
      <c r="E161" s="2">
        <f>C161^3</f>
        <v/>
      </c>
      <c r="F161" s="2">
        <f>(C161 / $J$5)^3</f>
        <v/>
      </c>
      <c r="G161" s="2">
        <f>(C161 / $J$5)^4</f>
        <v/>
      </c>
    </row>
    <row r="162">
      <c r="A162" s="7" t="inlineStr">
        <is>
          <t>2026-06-05</t>
        </is>
      </c>
      <c r="B162" s="2" t="n">
        <v>0.0304411239922046</v>
      </c>
      <c r="C162" s="2">
        <f>B162 - $J$3</f>
        <v/>
      </c>
      <c r="D162" s="2">
        <f>C162^2</f>
        <v/>
      </c>
      <c r="E162" s="2">
        <f>C162^3</f>
        <v/>
      </c>
      <c r="F162" s="2">
        <f>(C162 / $J$5)^3</f>
        <v/>
      </c>
      <c r="G162" s="2">
        <f>(C162 / $J$5)^4</f>
        <v/>
      </c>
    </row>
    <row r="163">
      <c r="A163" s="7" t="inlineStr">
        <is>
          <t>2026-06-06</t>
        </is>
      </c>
      <c r="B163" s="2" t="n">
        <v>0.0351102575659751</v>
      </c>
      <c r="C163" s="2">
        <f>B163 - $J$3</f>
        <v/>
      </c>
      <c r="D163" s="2">
        <f>C163^2</f>
        <v/>
      </c>
      <c r="E163" s="2">
        <f>C163^3</f>
        <v/>
      </c>
      <c r="F163" s="2">
        <f>(C163 / $J$5)^3</f>
        <v/>
      </c>
      <c r="G163" s="2">
        <f>(C163 / $J$5)^4</f>
        <v/>
      </c>
    </row>
    <row r="164">
      <c r="A164" s="7" t="inlineStr">
        <is>
          <t>2026-06-07</t>
        </is>
      </c>
      <c r="B164" s="2" t="n">
        <v>0.0290397554636001</v>
      </c>
      <c r="C164" s="2">
        <f>B164 - $J$3</f>
        <v/>
      </c>
      <c r="D164" s="2">
        <f>C164^2</f>
        <v/>
      </c>
      <c r="E164" s="2">
        <f>C164^3</f>
        <v/>
      </c>
      <c r="F164" s="2">
        <f>(C164 / $J$5)^3</f>
        <v/>
      </c>
      <c r="G164" s="2">
        <f>(C164 / $J$5)^4</f>
        <v/>
      </c>
    </row>
    <row r="165">
      <c r="A165" s="7" t="inlineStr">
        <is>
          <t>2026-06-08</t>
        </is>
      </c>
      <c r="B165" s="2" t="n">
        <v>0.0299832988530397</v>
      </c>
      <c r="C165" s="2">
        <f>B165 - $J$3</f>
        <v/>
      </c>
      <c r="D165" s="2">
        <f>C165^2</f>
        <v/>
      </c>
      <c r="E165" s="2">
        <f>C165^3</f>
        <v/>
      </c>
      <c r="F165" s="2">
        <f>(C165 / $J$5)^3</f>
        <v/>
      </c>
      <c r="G165" s="2">
        <f>(C165 / $J$5)^4</f>
        <v/>
      </c>
    </row>
    <row r="166">
      <c r="A166" s="7" t="inlineStr">
        <is>
          <t>2026-06-09</t>
        </is>
      </c>
      <c r="B166" s="2" t="n">
        <v>0.0313063897192478</v>
      </c>
      <c r="C166" s="2">
        <f>B166 - $J$3</f>
        <v/>
      </c>
      <c r="D166" s="2">
        <f>C166^2</f>
        <v/>
      </c>
      <c r="E166" s="2">
        <f>C166^3</f>
        <v/>
      </c>
      <c r="F166" s="2">
        <f>(C166 / $J$5)^3</f>
        <v/>
      </c>
      <c r="G166" s="2">
        <f>(C166 / $J$5)^4</f>
        <v/>
      </c>
    </row>
    <row r="167">
      <c r="A167" s="7" t="inlineStr">
        <is>
          <t>2026-06-10</t>
        </is>
      </c>
      <c r="B167" s="2" t="n">
        <v>0.0294039566069841</v>
      </c>
      <c r="C167" s="2">
        <f>B167 - $J$3</f>
        <v/>
      </c>
      <c r="D167" s="2">
        <f>C167^2</f>
        <v/>
      </c>
      <c r="E167" s="2">
        <f>C167^3</f>
        <v/>
      </c>
      <c r="F167" s="2">
        <f>(C167 / $J$5)^3</f>
        <v/>
      </c>
      <c r="G167" s="2">
        <f>(C167 / $J$5)^4</f>
        <v/>
      </c>
    </row>
    <row r="168">
      <c r="A168" s="7" t="inlineStr">
        <is>
          <t>2026-06-11</t>
        </is>
      </c>
      <c r="B168" s="2" t="n">
        <v>0.0276462733745574</v>
      </c>
      <c r="C168" s="2">
        <f>B168 - $J$3</f>
        <v/>
      </c>
      <c r="D168" s="2">
        <f>C168^2</f>
        <v/>
      </c>
      <c r="E168" s="2">
        <f>C168^3</f>
        <v/>
      </c>
      <c r="F168" s="2">
        <f>(C168 / $J$5)^3</f>
        <v/>
      </c>
      <c r="G168" s="2">
        <f>(C168 / $J$5)^4</f>
        <v/>
      </c>
    </row>
    <row r="169">
      <c r="A169" s="7" t="inlineStr">
        <is>
          <t>2026-06-13</t>
        </is>
      </c>
      <c r="B169" s="2" t="n">
        <v>0.0279993209987878</v>
      </c>
      <c r="C169" s="2">
        <f>B169 - $J$3</f>
        <v/>
      </c>
      <c r="D169" s="2">
        <f>C169^2</f>
        <v/>
      </c>
      <c r="E169" s="2">
        <f>C169^3</f>
        <v/>
      </c>
      <c r="F169" s="2">
        <f>(C169 / $J$5)^3</f>
        <v/>
      </c>
      <c r="G169" s="2">
        <f>(C169 / $J$5)^4</f>
        <v/>
      </c>
    </row>
    <row r="170">
      <c r="A170" s="7" t="inlineStr">
        <is>
          <t>2026-06-14</t>
        </is>
      </c>
      <c r="B170" s="2" t="n">
        <v>0.036920141428709</v>
      </c>
      <c r="C170" s="2">
        <f>B170 - $J$3</f>
        <v/>
      </c>
      <c r="D170" s="2">
        <f>C170^2</f>
        <v/>
      </c>
      <c r="E170" s="2">
        <f>C170^3</f>
        <v/>
      </c>
      <c r="F170" s="2">
        <f>(C170 / $J$5)^3</f>
        <v/>
      </c>
      <c r="G170" s="2">
        <f>(C170 / $J$5)^4</f>
        <v/>
      </c>
    </row>
    <row r="171">
      <c r="A171" s="7" t="inlineStr">
        <is>
          <t>2026-06-16</t>
        </is>
      </c>
      <c r="B171" s="2" t="n">
        <v>0.0273459795862436</v>
      </c>
      <c r="C171" s="2">
        <f>B171 - $J$3</f>
        <v/>
      </c>
      <c r="D171" s="2">
        <f>C171^2</f>
        <v/>
      </c>
      <c r="E171" s="2">
        <f>C171^3</f>
        <v/>
      </c>
      <c r="F171" s="2">
        <f>(C171 / $J$5)^3</f>
        <v/>
      </c>
      <c r="G171" s="2">
        <f>(C171 / $J$5)^4</f>
        <v/>
      </c>
    </row>
    <row r="172">
      <c r="A172" s="7" t="inlineStr">
        <is>
          <t>2026-06-17</t>
        </is>
      </c>
      <c r="B172" s="2" t="n">
        <v>0.0374628603458404</v>
      </c>
      <c r="C172" s="2">
        <f>B172 - $J$3</f>
        <v/>
      </c>
      <c r="D172" s="2">
        <f>C172^2</f>
        <v/>
      </c>
      <c r="E172" s="2">
        <f>C172^3</f>
        <v/>
      </c>
      <c r="F172" s="2">
        <f>(C172 / $J$5)^3</f>
        <v/>
      </c>
      <c r="G172" s="2">
        <f>(C172 / $J$5)^4</f>
        <v/>
      </c>
    </row>
    <row r="173">
      <c r="A173" s="7" t="inlineStr">
        <is>
          <t>2026-06-18</t>
        </is>
      </c>
      <c r="B173" s="2" t="n">
        <v>0.0343389101326465</v>
      </c>
      <c r="C173" s="2">
        <f>B173 - $J$3</f>
        <v/>
      </c>
      <c r="D173" s="2">
        <f>C173^2</f>
        <v/>
      </c>
      <c r="E173" s="2">
        <f>C173^3</f>
        <v/>
      </c>
      <c r="F173" s="2">
        <f>(C173 / $J$5)^3</f>
        <v/>
      </c>
      <c r="G173" s="2">
        <f>(C173 / $J$5)^4</f>
        <v/>
      </c>
    </row>
    <row r="174">
      <c r="A174" s="7" t="inlineStr">
        <is>
          <t>2026-06-19</t>
        </is>
      </c>
      <c r="B174" s="2" t="n">
        <v>0.0337705500423908</v>
      </c>
      <c r="C174" s="2">
        <f>B174 - $J$3</f>
        <v/>
      </c>
      <c r="D174" s="2">
        <f>C174^2</f>
        <v/>
      </c>
      <c r="E174" s="2">
        <f>C174^3</f>
        <v/>
      </c>
      <c r="F174" s="2">
        <f>(C174 / $J$5)^3</f>
        <v/>
      </c>
      <c r="G174" s="2">
        <f>(C174 / $J$5)^4</f>
        <v/>
      </c>
    </row>
    <row r="175">
      <c r="A175" s="7" t="inlineStr">
        <is>
          <t>2026-06-21</t>
        </is>
      </c>
      <c r="B175" s="2" t="n">
        <v>0.0274566989392042</v>
      </c>
      <c r="C175" s="2">
        <f>B175 - $J$3</f>
        <v/>
      </c>
      <c r="D175" s="2">
        <f>C175^2</f>
        <v/>
      </c>
      <c r="E175" s="2">
        <f>C175^3</f>
        <v/>
      </c>
      <c r="F175" s="2">
        <f>(C175 / $J$5)^3</f>
        <v/>
      </c>
      <c r="G175" s="2">
        <f>(C175 / $J$5)^4</f>
        <v/>
      </c>
    </row>
    <row r="176">
      <c r="A176" s="7" t="inlineStr">
        <is>
          <t>2026-06-22</t>
        </is>
      </c>
      <c r="B176" s="2" t="n">
        <v>0.0223945286124944</v>
      </c>
      <c r="C176" s="2">
        <f>B176 - $J$3</f>
        <v/>
      </c>
      <c r="D176" s="2">
        <f>C176^2</f>
        <v/>
      </c>
      <c r="E176" s="2">
        <f>C176^3</f>
        <v/>
      </c>
      <c r="F176" s="2">
        <f>(C176 / $J$5)^3</f>
        <v/>
      </c>
      <c r="G176" s="2">
        <f>(C176 / $J$5)^4</f>
        <v/>
      </c>
    </row>
    <row r="177">
      <c r="A177" s="7" t="inlineStr">
        <is>
          <t>2026-06-24</t>
        </is>
      </c>
      <c r="B177" s="2" t="n">
        <v>0.0259652007371187</v>
      </c>
      <c r="C177" s="2">
        <f>B177 - $J$3</f>
        <v/>
      </c>
      <c r="D177" s="2">
        <f>C177^2</f>
        <v/>
      </c>
      <c r="E177" s="2">
        <f>C177^3</f>
        <v/>
      </c>
      <c r="F177" s="2">
        <f>(C177 / $J$5)^3</f>
        <v/>
      </c>
      <c r="G177" s="2">
        <f>(C177 / $J$5)^4</f>
        <v/>
      </c>
    </row>
    <row r="178">
      <c r="A178" s="7" t="inlineStr">
        <is>
          <t>2026-06-25</t>
        </is>
      </c>
      <c r="B178" s="2" t="n">
        <v>0.0311552695930004</v>
      </c>
      <c r="C178" s="2">
        <f>B178 - $J$3</f>
        <v/>
      </c>
      <c r="D178" s="2">
        <f>C178^2</f>
        <v/>
      </c>
      <c r="E178" s="2">
        <f>C178^3</f>
        <v/>
      </c>
      <c r="F178" s="2">
        <f>(C178 / $J$5)^3</f>
        <v/>
      </c>
      <c r="G178" s="2">
        <f>(C178 / $J$5)^4</f>
        <v/>
      </c>
    </row>
    <row r="179">
      <c r="A179" s="7" t="inlineStr">
        <is>
          <t>2026-06-29</t>
        </is>
      </c>
      <c r="B179" s="2" t="n">
        <v>0.0301007665693759</v>
      </c>
      <c r="C179" s="2">
        <f>B179 - $J$3</f>
        <v/>
      </c>
      <c r="D179" s="2">
        <f>C179^2</f>
        <v/>
      </c>
      <c r="E179" s="2">
        <f>C179^3</f>
        <v/>
      </c>
      <c r="F179" s="2">
        <f>(C179 / $J$5)^3</f>
        <v/>
      </c>
      <c r="G179" s="2">
        <f>(C179 / $J$5)^4</f>
        <v/>
      </c>
    </row>
    <row r="180">
      <c r="A180" s="7" t="inlineStr">
        <is>
          <t>2026-07-07</t>
        </is>
      </c>
      <c r="B180" s="2" t="n">
        <v>0.0265705659985542</v>
      </c>
      <c r="C180" s="2">
        <f>B180 - $J$3</f>
        <v/>
      </c>
      <c r="D180" s="2">
        <f>C180^2</f>
        <v/>
      </c>
      <c r="E180" s="2">
        <f>C180^3</f>
        <v/>
      </c>
      <c r="F180" s="2">
        <f>(C180 / $J$5)^3</f>
        <v/>
      </c>
      <c r="G180" s="2">
        <f>(C180 / $J$5)^4</f>
        <v/>
      </c>
    </row>
    <row r="181">
      <c r="A181" s="7" t="inlineStr">
        <is>
          <t>2026-07-09</t>
        </is>
      </c>
      <c r="B181" s="2" t="n">
        <v>0.0247736610472202</v>
      </c>
      <c r="C181" s="2">
        <f>B181 - $J$3</f>
        <v/>
      </c>
      <c r="D181" s="2">
        <f>C181^2</f>
        <v/>
      </c>
      <c r="E181" s="2">
        <f>C181^3</f>
        <v/>
      </c>
      <c r="F181" s="2">
        <f>(C181 / $J$5)^3</f>
        <v/>
      </c>
      <c r="G181" s="2">
        <f>(C181 / $J$5)^4</f>
        <v/>
      </c>
    </row>
    <row r="182">
      <c r="A182" s="7" t="inlineStr">
        <is>
          <t>2026-07-12</t>
        </is>
      </c>
      <c r="B182" s="2" t="n">
        <v>0.0273262858390808</v>
      </c>
      <c r="C182" s="2">
        <f>B182 - $J$3</f>
        <v/>
      </c>
      <c r="D182" s="2">
        <f>C182^2</f>
        <v/>
      </c>
      <c r="E182" s="2">
        <f>C182^3</f>
        <v/>
      </c>
      <c r="F182" s="2">
        <f>(C182 / $J$5)^3</f>
        <v/>
      </c>
      <c r="G182" s="2">
        <f>(C182 / $J$5)^4</f>
        <v/>
      </c>
    </row>
    <row r="183">
      <c r="A183" s="7" t="inlineStr">
        <is>
          <t>2026-07-13</t>
        </is>
      </c>
      <c r="B183" s="2" t="n">
        <v>0.0233656726777553</v>
      </c>
      <c r="C183" s="2">
        <f>B183 - $J$3</f>
        <v/>
      </c>
      <c r="D183" s="2">
        <f>C183^2</f>
        <v/>
      </c>
      <c r="E183" s="2">
        <f>C183^3</f>
        <v/>
      </c>
      <c r="F183" s="2">
        <f>(C183 / $J$5)^3</f>
        <v/>
      </c>
      <c r="G183" s="2">
        <f>(C183 / $J$5)^4</f>
        <v/>
      </c>
    </row>
    <row r="184">
      <c r="A184" s="7" t="inlineStr">
        <is>
          <t>2026-07-14</t>
        </is>
      </c>
      <c r="B184" s="2" t="n">
        <v>0.0295971408486366</v>
      </c>
      <c r="C184" s="2">
        <f>B184 - $J$3</f>
        <v/>
      </c>
      <c r="D184" s="2">
        <f>C184^2</f>
        <v/>
      </c>
      <c r="E184" s="2">
        <f>C184^3</f>
        <v/>
      </c>
      <c r="F184" s="2">
        <f>(C184 / $J$5)^3</f>
        <v/>
      </c>
      <c r="G184" s="2">
        <f>(C184 / $J$5)^4</f>
        <v/>
      </c>
    </row>
    <row r="185">
      <c r="A185" s="7" t="inlineStr">
        <is>
          <t>2026-07-15</t>
        </is>
      </c>
      <c r="B185" s="2" t="n">
        <v>0.0342840999364852</v>
      </c>
      <c r="C185" s="2">
        <f>B185 - $J$3</f>
        <v/>
      </c>
      <c r="D185" s="2">
        <f>C185^2</f>
        <v/>
      </c>
      <c r="E185" s="2">
        <f>C185^3</f>
        <v/>
      </c>
      <c r="F185" s="2">
        <f>(C185 / $J$5)^3</f>
        <v/>
      </c>
      <c r="G185" s="2">
        <f>(C185 / $J$5)^4</f>
        <v/>
      </c>
    </row>
    <row r="186">
      <c r="A186" s="7" t="inlineStr">
        <is>
          <t>2026-07-17</t>
        </is>
      </c>
      <c r="B186" s="2" t="n">
        <v>0.0254459958523511</v>
      </c>
      <c r="C186" s="2">
        <f>B186 - $J$3</f>
        <v/>
      </c>
      <c r="D186" s="2">
        <f>C186^2</f>
        <v/>
      </c>
      <c r="E186" s="2">
        <f>C186^3</f>
        <v/>
      </c>
      <c r="F186" s="2">
        <f>(C186 / $J$5)^3</f>
        <v/>
      </c>
      <c r="G186" s="2">
        <f>(C186 / $J$5)^4</f>
        <v/>
      </c>
    </row>
    <row r="187">
      <c r="A187" s="7" t="inlineStr">
        <is>
          <t>2026-07-20</t>
        </is>
      </c>
      <c r="B187" s="2" t="n">
        <v>0.0335762612521648</v>
      </c>
      <c r="C187" s="2">
        <f>B187 - $J$3</f>
        <v/>
      </c>
      <c r="D187" s="2">
        <f>C187^2</f>
        <v/>
      </c>
      <c r="E187" s="2">
        <f>C187^3</f>
        <v/>
      </c>
      <c r="F187" s="2">
        <f>(C187 / $J$5)^3</f>
        <v/>
      </c>
      <c r="G187" s="2">
        <f>(C187 / $J$5)^4</f>
        <v/>
      </c>
    </row>
    <row r="188">
      <c r="A188" s="7" t="inlineStr">
        <is>
          <t>2026-07-21</t>
        </is>
      </c>
      <c r="B188" s="2" t="n">
        <v>0.0264456551522016</v>
      </c>
      <c r="C188" s="2">
        <f>B188 - $J$3</f>
        <v/>
      </c>
      <c r="D188" s="2">
        <f>C188^2</f>
        <v/>
      </c>
      <c r="E188" s="2">
        <f>C188^3</f>
        <v/>
      </c>
      <c r="F188" s="2">
        <f>(C188 / $J$5)^3</f>
        <v/>
      </c>
      <c r="G188" s="2">
        <f>(C188 / $J$5)^4</f>
        <v/>
      </c>
    </row>
    <row r="189">
      <c r="A189" s="7" t="inlineStr">
        <is>
          <t>2026-07-23</t>
        </is>
      </c>
      <c r="B189" s="2" t="n">
        <v>0.0305009502917528</v>
      </c>
      <c r="C189" s="2">
        <f>B189 - $J$3</f>
        <v/>
      </c>
      <c r="D189" s="2">
        <f>C189^2</f>
        <v/>
      </c>
      <c r="E189" s="2">
        <f>C189^3</f>
        <v/>
      </c>
      <c r="F189" s="2">
        <f>(C189 / $J$5)^3</f>
        <v/>
      </c>
      <c r="G189" s="2">
        <f>(C189 / $J$5)^4</f>
        <v/>
      </c>
    </row>
    <row r="190">
      <c r="A190" s="7" t="inlineStr">
        <is>
          <t>2026-07-24</t>
        </is>
      </c>
      <c r="B190" s="2" t="n">
        <v>0.0275592077523469</v>
      </c>
      <c r="C190" s="2">
        <f>B190 - $J$3</f>
        <v/>
      </c>
      <c r="D190" s="2">
        <f>C190^2</f>
        <v/>
      </c>
      <c r="E190" s="2">
        <f>C190^3</f>
        <v/>
      </c>
      <c r="F190" s="2">
        <f>(C190 / $J$5)^3</f>
        <v/>
      </c>
      <c r="G190" s="2">
        <f>(C190 / $J$5)^4</f>
        <v/>
      </c>
    </row>
    <row r="191">
      <c r="A191" s="7" t="inlineStr">
        <is>
          <t>2026-07-27</t>
        </is>
      </c>
      <c r="B191" s="2" t="n">
        <v>0.0301353447139263</v>
      </c>
      <c r="C191" s="2">
        <f>B191 - $J$3</f>
        <v/>
      </c>
      <c r="D191" s="2">
        <f>C191^2</f>
        <v/>
      </c>
      <c r="E191" s="2">
        <f>C191^3</f>
        <v/>
      </c>
      <c r="F191" s="2">
        <f>(C191 / $J$5)^3</f>
        <v/>
      </c>
      <c r="G191" s="2">
        <f>(C191 / $J$5)^4</f>
        <v/>
      </c>
    </row>
    <row r="192">
      <c r="A192" s="7" t="inlineStr">
        <is>
          <t>2026-07-28</t>
        </is>
      </c>
      <c r="B192" s="2" t="n">
        <v>0.0288067981600761</v>
      </c>
      <c r="C192" s="2">
        <f>B192 - $J$3</f>
        <v/>
      </c>
      <c r="D192" s="2">
        <f>C192^2</f>
        <v/>
      </c>
      <c r="E192" s="2">
        <f>C192^3</f>
        <v/>
      </c>
      <c r="F192" s="2">
        <f>(C192 / $J$5)^3</f>
        <v/>
      </c>
      <c r="G192" s="2">
        <f>(C192 / $J$5)^4</f>
        <v/>
      </c>
    </row>
    <row r="193">
      <c r="A193" s="7" t="inlineStr">
        <is>
          <t>2026-08-03</t>
        </is>
      </c>
      <c r="B193" s="2" t="n">
        <v>0.0277706496417522</v>
      </c>
      <c r="C193" s="2">
        <f>B193 - $J$3</f>
        <v/>
      </c>
      <c r="D193" s="2">
        <f>C193^2</f>
        <v/>
      </c>
      <c r="E193" s="2">
        <f>C193^3</f>
        <v/>
      </c>
      <c r="F193" s="2">
        <f>(C193 / $J$5)^3</f>
        <v/>
      </c>
      <c r="G193" s="2">
        <f>(C193 / $J$5)^4</f>
        <v/>
      </c>
    </row>
    <row r="194">
      <c r="A194" s="7" t="inlineStr">
        <is>
          <t>2026-08-05</t>
        </is>
      </c>
      <c r="B194" s="2" t="n">
        <v>0.0309437625110149</v>
      </c>
      <c r="C194" s="2">
        <f>B194 - $J$3</f>
        <v/>
      </c>
      <c r="D194" s="2">
        <f>C194^2</f>
        <v/>
      </c>
      <c r="E194" s="2">
        <f>C194^3</f>
        <v/>
      </c>
      <c r="F194" s="2">
        <f>(C194 / $J$5)^3</f>
        <v/>
      </c>
      <c r="G194" s="2">
        <f>(C194 / $J$5)^4</f>
        <v/>
      </c>
    </row>
    <row r="195">
      <c r="A195" s="7" t="inlineStr">
        <is>
          <t>2026-08-10</t>
        </is>
      </c>
      <c r="B195" s="2" t="n">
        <v>0.0308882426470518</v>
      </c>
      <c r="C195" s="2">
        <f>B195 - $J$3</f>
        <v/>
      </c>
      <c r="D195" s="2">
        <f>C195^2</f>
        <v/>
      </c>
      <c r="E195" s="2">
        <f>C195^3</f>
        <v/>
      </c>
      <c r="F195" s="2">
        <f>(C195 / $J$5)^3</f>
        <v/>
      </c>
      <c r="G195" s="2">
        <f>(C195 / $J$5)^4</f>
        <v/>
      </c>
    </row>
    <row r="196">
      <c r="A196" s="7" t="inlineStr">
        <is>
          <t>2026-08-11</t>
        </is>
      </c>
      <c r="B196" s="2" t="n">
        <v>0.0244829319417476</v>
      </c>
      <c r="C196" s="2">
        <f>B196 - $J$3</f>
        <v/>
      </c>
      <c r="D196" s="2">
        <f>C196^2</f>
        <v/>
      </c>
      <c r="E196" s="2">
        <f>C196^3</f>
        <v/>
      </c>
      <c r="F196" s="2">
        <f>(C196 / $J$5)^3</f>
        <v/>
      </c>
      <c r="G196" s="2">
        <f>(C196 / $J$5)^4</f>
        <v/>
      </c>
    </row>
    <row r="197">
      <c r="A197" s="7" t="inlineStr">
        <is>
          <t>2026-08-12</t>
        </is>
      </c>
      <c r="B197" s="2" t="n">
        <v>0.0293529145419597</v>
      </c>
      <c r="C197" s="2">
        <f>B197 - $J$3</f>
        <v/>
      </c>
      <c r="D197" s="2">
        <f>C197^2</f>
        <v/>
      </c>
      <c r="E197" s="2">
        <f>C197^3</f>
        <v/>
      </c>
      <c r="F197" s="2">
        <f>(C197 / $J$5)^3</f>
        <v/>
      </c>
      <c r="G197" s="2">
        <f>(C197 / $J$5)^4</f>
        <v/>
      </c>
    </row>
    <row r="198">
      <c r="A198" s="7" t="inlineStr">
        <is>
          <t>2026-08-13</t>
        </is>
      </c>
      <c r="B198" s="2" t="n">
        <v>0.0284840185195207</v>
      </c>
      <c r="C198" s="2">
        <f>B198 - $J$3</f>
        <v/>
      </c>
      <c r="D198" s="2">
        <f>C198^2</f>
        <v/>
      </c>
      <c r="E198" s="2">
        <f>C198^3</f>
        <v/>
      </c>
      <c r="F198" s="2">
        <f>(C198 / $J$5)^3</f>
        <v/>
      </c>
      <c r="G198" s="2">
        <f>(C198 / $J$5)^4</f>
        <v/>
      </c>
    </row>
    <row r="199">
      <c r="A199" s="7" t="inlineStr">
        <is>
          <t>2026-08-14</t>
        </is>
      </c>
      <c r="B199" s="2" t="n">
        <v>0.0302912164479494</v>
      </c>
      <c r="C199" s="2">
        <f>B199 - $J$3</f>
        <v/>
      </c>
      <c r="D199" s="2">
        <f>C199^2</f>
        <v/>
      </c>
      <c r="E199" s="2">
        <f>C199^3</f>
        <v/>
      </c>
      <c r="F199" s="2">
        <f>(C199 / $J$5)^3</f>
        <v/>
      </c>
      <c r="G199" s="2">
        <f>(C199 / $J$5)^4</f>
        <v/>
      </c>
    </row>
    <row r="200">
      <c r="A200" s="7" t="inlineStr">
        <is>
          <t>2026-08-15</t>
        </is>
      </c>
      <c r="B200" s="2" t="n">
        <v>0.0307265575975179</v>
      </c>
      <c r="C200" s="2">
        <f>B200 - $J$3</f>
        <v/>
      </c>
      <c r="D200" s="2">
        <f>C200^2</f>
        <v/>
      </c>
      <c r="E200" s="2">
        <f>C200^3</f>
        <v/>
      </c>
      <c r="F200" s="2">
        <f>(C200 / $J$5)^3</f>
        <v/>
      </c>
      <c r="G200" s="2">
        <f>(C200 / $J$5)^4</f>
        <v/>
      </c>
    </row>
    <row r="201">
      <c r="A201" s="7" t="inlineStr">
        <is>
          <t>2026-08-16</t>
        </is>
      </c>
      <c r="B201" s="2" t="n">
        <v>0.0307844616472721</v>
      </c>
      <c r="C201" s="2">
        <f>B201 - $J$3</f>
        <v/>
      </c>
      <c r="D201" s="2">
        <f>C201^2</f>
        <v/>
      </c>
      <c r="E201" s="2">
        <f>C201^3</f>
        <v/>
      </c>
      <c r="F201" s="2">
        <f>(C201 / $J$5)^3</f>
        <v/>
      </c>
      <c r="G201" s="2">
        <f>(C201 / $J$5)^4</f>
        <v/>
      </c>
    </row>
    <row r="202">
      <c r="A202" s="7" t="inlineStr">
        <is>
          <t>2026-08-18</t>
        </is>
      </c>
      <c r="B202" s="2" t="n">
        <v>0.0331703387200832</v>
      </c>
      <c r="C202" s="2">
        <f>B202 - $J$3</f>
        <v/>
      </c>
      <c r="D202" s="2">
        <f>C202^2</f>
        <v/>
      </c>
      <c r="E202" s="2">
        <f>C202^3</f>
        <v/>
      </c>
      <c r="F202" s="2">
        <f>(C202 / $J$5)^3</f>
        <v/>
      </c>
      <c r="G202" s="2">
        <f>(C202 / $J$5)^4</f>
        <v/>
      </c>
    </row>
    <row r="203">
      <c r="A203" s="7" t="inlineStr">
        <is>
          <t>2026-08-19</t>
        </is>
      </c>
      <c r="B203" s="2" t="n">
        <v>0.0388000197708606</v>
      </c>
      <c r="C203" s="2">
        <f>B203 - $J$3</f>
        <v/>
      </c>
      <c r="D203" s="2">
        <f>C203^2</f>
        <v/>
      </c>
      <c r="E203" s="2">
        <f>C203^3</f>
        <v/>
      </c>
      <c r="F203" s="2">
        <f>(C203 / $J$5)^3</f>
        <v/>
      </c>
      <c r="G203" s="2">
        <f>(C203 / $J$5)^4</f>
        <v/>
      </c>
    </row>
    <row r="204">
      <c r="A204" s="7" t="inlineStr">
        <is>
          <t>2026-08-20</t>
        </is>
      </c>
      <c r="B204" s="2" t="n">
        <v>0.0353564508259296</v>
      </c>
      <c r="C204" s="2">
        <f>B204 - $J$3</f>
        <v/>
      </c>
      <c r="D204" s="2">
        <f>C204^2</f>
        <v/>
      </c>
      <c r="E204" s="2">
        <f>C204^3</f>
        <v/>
      </c>
      <c r="F204" s="2">
        <f>(C204 / $J$5)^3</f>
        <v/>
      </c>
      <c r="G204" s="2">
        <f>(C204 / $J$5)^4</f>
        <v/>
      </c>
    </row>
    <row r="205">
      <c r="A205" s="7" t="inlineStr">
        <is>
          <t>2026-08-21</t>
        </is>
      </c>
      <c r="B205" s="2" t="n">
        <v>0.0321139320731163</v>
      </c>
      <c r="C205" s="2">
        <f>B205 - $J$3</f>
        <v/>
      </c>
      <c r="D205" s="2">
        <f>C205^2</f>
        <v/>
      </c>
      <c r="E205" s="2">
        <f>C205^3</f>
        <v/>
      </c>
      <c r="F205" s="2">
        <f>(C205 / $J$5)^3</f>
        <v/>
      </c>
      <c r="G205" s="2">
        <f>(C205 / $J$5)^4</f>
        <v/>
      </c>
    </row>
    <row r="206">
      <c r="A206" s="7" t="inlineStr">
        <is>
          <t>2026-08-22</t>
        </is>
      </c>
      <c r="B206" s="2" t="n">
        <v>0.0319191552698612</v>
      </c>
      <c r="C206" s="2">
        <f>B206 - $J$3</f>
        <v/>
      </c>
      <c r="D206" s="2">
        <f>C206^2</f>
        <v/>
      </c>
      <c r="E206" s="2">
        <f>C206^3</f>
        <v/>
      </c>
      <c r="F206" s="2">
        <f>(C206 / $J$5)^3</f>
        <v/>
      </c>
      <c r="G206" s="2">
        <f>(C206 / $J$5)^4</f>
        <v/>
      </c>
    </row>
    <row r="207">
      <c r="A207" s="7" t="inlineStr">
        <is>
          <t>2026-08-23</t>
        </is>
      </c>
      <c r="B207" s="2" t="n">
        <v>0.0269075613468885</v>
      </c>
      <c r="C207" s="2">
        <f>B207 - $J$3</f>
        <v/>
      </c>
      <c r="D207" s="2">
        <f>C207^2</f>
        <v/>
      </c>
      <c r="E207" s="2">
        <f>C207^3</f>
        <v/>
      </c>
      <c r="F207" s="2">
        <f>(C207 / $J$5)^3</f>
        <v/>
      </c>
      <c r="G207" s="2">
        <f>(C207 / $J$5)^4</f>
        <v/>
      </c>
    </row>
    <row r="208">
      <c r="A208" s="7" t="inlineStr">
        <is>
          <t>2026-08-25</t>
        </is>
      </c>
      <c r="B208" s="2" t="n">
        <v>0.0252294316887855</v>
      </c>
      <c r="C208" s="2">
        <f>B208 - $J$3</f>
        <v/>
      </c>
      <c r="D208" s="2">
        <f>C208^2</f>
        <v/>
      </c>
      <c r="E208" s="2">
        <f>C208^3</f>
        <v/>
      </c>
      <c r="F208" s="2">
        <f>(C208 / $J$5)^3</f>
        <v/>
      </c>
      <c r="G208" s="2">
        <f>(C208 / $J$5)^4</f>
        <v/>
      </c>
    </row>
    <row r="209">
      <c r="A209" s="7" t="inlineStr">
        <is>
          <t>2026-08-27</t>
        </is>
      </c>
      <c r="B209" s="2" t="n">
        <v>0.0309621375054121</v>
      </c>
      <c r="C209" s="2">
        <f>B209 - $J$3</f>
        <v/>
      </c>
      <c r="D209" s="2">
        <f>C209^2</f>
        <v/>
      </c>
      <c r="E209" s="2">
        <f>C209^3</f>
        <v/>
      </c>
      <c r="F209" s="2">
        <f>(C209 / $J$5)^3</f>
        <v/>
      </c>
      <c r="G209" s="2">
        <f>(C209 / $J$5)^4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1" customWidth="1" min="4" max="4"/>
    <col width="11" customWidth="1" min="5" max="5"/>
    <col width="17" customWidth="1" min="6" max="6"/>
    <col width="17" customWidth="1" min="7" max="7"/>
    <col width="2" customWidth="1" min="8" max="8"/>
    <col width="23" customWidth="1" min="9" max="9"/>
    <col width="25" customWidth="1" min="10" max="10"/>
  </cols>
  <sheetData>
    <row r="1">
      <c r="A1" s="3" t="inlineStr">
        <is>
          <t>Perhitungan Manual Statistik Polutan: NO2</t>
        </is>
      </c>
    </row>
    <row r="2">
      <c r="I2" s="4" t="inlineStr">
        <is>
          <t>Count (n)</t>
        </is>
      </c>
      <c r="J2" s="5">
        <f>COUNT(B12:B73)</f>
        <v/>
      </c>
    </row>
    <row r="3">
      <c r="I3" s="4" t="inlineStr">
        <is>
          <t>Mean (x̄)</t>
        </is>
      </c>
      <c r="J3" s="5">
        <f>AVERAGE(B12:B73)</f>
        <v/>
      </c>
    </row>
    <row r="4">
      <c r="I4" s="4" t="inlineStr">
        <is>
          <t>Variansi (s²)</t>
        </is>
      </c>
      <c r="J4" s="5">
        <f>SUM(D12:D73) / (J2 - 1)</f>
        <v/>
      </c>
    </row>
    <row r="5">
      <c r="I5" s="4" t="inlineStr">
        <is>
          <t>Std Deviasi (s)</t>
        </is>
      </c>
      <c r="J5" s="5">
        <f>SQRT(J4)</f>
        <v/>
      </c>
    </row>
    <row r="6">
      <c r="I6" s="4" t="inlineStr">
        <is>
          <t>Sum ((x - x̄)/s)³</t>
        </is>
      </c>
      <c r="J6" s="5">
        <f>SUM(F12:F73)</f>
        <v/>
      </c>
    </row>
    <row r="7">
      <c r="I7" s="4" t="inlineStr">
        <is>
          <t>Sum ((x - x̄)/s)⁴</t>
        </is>
      </c>
      <c r="J7" s="5">
        <f>SUM(G12:G73)</f>
        <v/>
      </c>
    </row>
    <row r="8">
      <c r="I8" s="4" t="inlineStr">
        <is>
          <t>Skewness (Manual)</t>
        </is>
      </c>
      <c r="J8" s="5">
        <f>(J2 / ((J2 - 1) * (J2 - 2))) * J6</f>
        <v/>
      </c>
    </row>
    <row r="9">
      <c r="I9" s="4" t="inlineStr">
        <is>
          <t>Kurtosis (Manual)</t>
        </is>
      </c>
      <c r="J9" s="5">
        <f>(J2 * (J2 + 1) / ((J2 - 1) * (J2 - 2) * (J2 - 3))) * J7 - (3 * (J2 - 1)^2 / ((J2 - 2) * (J2 - 3)))</f>
        <v/>
      </c>
    </row>
    <row r="10">
      <c r="I10" s="4" t="inlineStr">
        <is>
          <t>Excel SKEW (Validasi)</t>
        </is>
      </c>
      <c r="J10" s="6">
        <f>SKEW(B12:B73)</f>
        <v/>
      </c>
    </row>
    <row r="11">
      <c r="A11" s="1" t="inlineStr">
        <is>
          <t>Date</t>
        </is>
      </c>
      <c r="B11" s="1" t="inlineStr">
        <is>
          <t>x (Nilai Polutan)</t>
        </is>
      </c>
      <c r="C11" s="1" t="inlineStr">
        <is>
          <t>Deviasi (x - x̄)</t>
        </is>
      </c>
      <c r="D11" s="1" t="inlineStr">
        <is>
          <t>(x - x̄)²</t>
        </is>
      </c>
      <c r="E11" s="1" t="inlineStr">
        <is>
          <t>(x - x̄)³</t>
        </is>
      </c>
      <c r="F11" s="1" t="inlineStr">
        <is>
          <t>((x - x̄)/s)³</t>
        </is>
      </c>
      <c r="G11" s="1" t="inlineStr">
        <is>
          <t>((x - x̄)/s)⁴</t>
        </is>
      </c>
      <c r="I11" s="4" t="inlineStr">
        <is>
          <t>Excel KURT (Validasi)</t>
        </is>
      </c>
      <c r="J11" s="6">
        <f>KURT(B12:B73)</f>
        <v/>
      </c>
    </row>
    <row r="12">
      <c r="A12" s="7" t="inlineStr">
        <is>
          <t>2025-09-02</t>
        </is>
      </c>
      <c r="B12" s="2" t="n">
        <v>2.085758751491085e-05</v>
      </c>
      <c r="C12" s="2">
        <f>B12 - $J$3</f>
        <v/>
      </c>
      <c r="D12" s="2">
        <f>C12^2</f>
        <v/>
      </c>
      <c r="E12" s="2">
        <f>C12^3</f>
        <v/>
      </c>
      <c r="F12" s="2">
        <f>(C12 / $J$5)^3</f>
        <v/>
      </c>
      <c r="G12" s="2">
        <f>(C12 / $J$5)^4</f>
        <v/>
      </c>
    </row>
    <row r="13">
      <c r="A13" s="7" t="inlineStr">
        <is>
          <t>2025-09-03</t>
        </is>
      </c>
      <c r="B13" s="2" t="n">
        <v>3.013038258359302e-05</v>
      </c>
      <c r="C13" s="2">
        <f>B13 - $J$3</f>
        <v/>
      </c>
      <c r="D13" s="2">
        <f>C13^2</f>
        <v/>
      </c>
      <c r="E13" s="2">
        <f>C13^3</f>
        <v/>
      </c>
      <c r="F13" s="2">
        <f>(C13 / $J$5)^3</f>
        <v/>
      </c>
      <c r="G13" s="2">
        <f>(C13 / $J$5)^4</f>
        <v/>
      </c>
    </row>
    <row r="14">
      <c r="A14" s="7" t="inlineStr">
        <is>
          <t>2025-09-04</t>
        </is>
      </c>
      <c r="B14" s="2" t="n">
        <v>5.518271791515872e-06</v>
      </c>
      <c r="C14" s="2">
        <f>B14 - $J$3</f>
        <v/>
      </c>
      <c r="D14" s="2">
        <f>C14^2</f>
        <v/>
      </c>
      <c r="E14" s="2">
        <f>C14^3</f>
        <v/>
      </c>
      <c r="F14" s="2">
        <f>(C14 / $J$5)^3</f>
        <v/>
      </c>
      <c r="G14" s="2">
        <f>(C14 / $J$5)^4</f>
        <v/>
      </c>
    </row>
    <row r="15">
      <c r="A15" s="7" t="inlineStr">
        <is>
          <t>2025-09-22</t>
        </is>
      </c>
      <c r="B15" s="2" t="n">
        <v>9.838767255132552e-06</v>
      </c>
      <c r="C15" s="2">
        <f>B15 - $J$3</f>
        <v/>
      </c>
      <c r="D15" s="2">
        <f>C15^2</f>
        <v/>
      </c>
      <c r="E15" s="2">
        <f>C15^3</f>
        <v/>
      </c>
      <c r="F15" s="2">
        <f>(C15 / $J$5)^3</f>
        <v/>
      </c>
      <c r="G15" s="2">
        <f>(C15 / $J$5)^4</f>
        <v/>
      </c>
    </row>
    <row r="16">
      <c r="A16" s="7" t="inlineStr">
        <is>
          <t>2025-09-23</t>
        </is>
      </c>
      <c r="B16" s="2" t="n">
        <v>3.291834582341835e-05</v>
      </c>
      <c r="C16" s="2">
        <f>B16 - $J$3</f>
        <v/>
      </c>
      <c r="D16" s="2">
        <f>C16^2</f>
        <v/>
      </c>
      <c r="E16" s="2">
        <f>C16^3</f>
        <v/>
      </c>
      <c r="F16" s="2">
        <f>(C16 / $J$5)^3</f>
        <v/>
      </c>
      <c r="G16" s="2">
        <f>(C16 / $J$5)^4</f>
        <v/>
      </c>
    </row>
    <row r="17">
      <c r="A17" s="7" t="inlineStr">
        <is>
          <t>2025-09-24</t>
        </is>
      </c>
      <c r="B17" s="2" t="n">
        <v>-6.785994173696963e-06</v>
      </c>
      <c r="C17" s="2">
        <f>B17 - $J$3</f>
        <v/>
      </c>
      <c r="D17" s="2">
        <f>C17^2</f>
        <v/>
      </c>
      <c r="E17" s="2">
        <f>C17^3</f>
        <v/>
      </c>
      <c r="F17" s="2">
        <f>(C17 / $J$5)^3</f>
        <v/>
      </c>
      <c r="G17" s="2">
        <f>(C17 / $J$5)^4</f>
        <v/>
      </c>
    </row>
    <row r="18">
      <c r="A18" s="7" t="inlineStr">
        <is>
          <t>2025-09-26</t>
        </is>
      </c>
      <c r="B18" s="2" t="n">
        <v>2.72015095106326e-05</v>
      </c>
      <c r="C18" s="2">
        <f>B18 - $J$3</f>
        <v/>
      </c>
      <c r="D18" s="2">
        <f>C18^2</f>
        <v/>
      </c>
      <c r="E18" s="2">
        <f>C18^3</f>
        <v/>
      </c>
      <c r="F18" s="2">
        <f>(C18 / $J$5)^3</f>
        <v/>
      </c>
      <c r="G18" s="2">
        <f>(C18 / $J$5)^4</f>
        <v/>
      </c>
    </row>
    <row r="19">
      <c r="A19" s="7" t="inlineStr">
        <is>
          <t>2025-09-28</t>
        </is>
      </c>
      <c r="B19" s="2" t="n">
        <v>1.329903443547664e-05</v>
      </c>
      <c r="C19" s="2">
        <f>B19 - $J$3</f>
        <v/>
      </c>
      <c r="D19" s="2">
        <f>C19^2</f>
        <v/>
      </c>
      <c r="E19" s="2">
        <f>C19^3</f>
        <v/>
      </c>
      <c r="F19" s="2">
        <f>(C19 / $J$5)^3</f>
        <v/>
      </c>
      <c r="G19" s="2">
        <f>(C19 / $J$5)^4</f>
        <v/>
      </c>
    </row>
    <row r="20">
      <c r="A20" s="7" t="inlineStr">
        <is>
          <t>2025-10-04</t>
        </is>
      </c>
      <c r="B20" s="2" t="n">
        <v>1.984431764867622e-05</v>
      </c>
      <c r="C20" s="2">
        <f>B20 - $J$3</f>
        <v/>
      </c>
      <c r="D20" s="2">
        <f>C20^2</f>
        <v/>
      </c>
      <c r="E20" s="2">
        <f>C20^3</f>
        <v/>
      </c>
      <c r="F20" s="2">
        <f>(C20 / $J$5)^3</f>
        <v/>
      </c>
      <c r="G20" s="2">
        <f>(C20 / $J$5)^4</f>
        <v/>
      </c>
    </row>
    <row r="21">
      <c r="A21" s="7" t="inlineStr">
        <is>
          <t>2025-10-06</t>
        </is>
      </c>
      <c r="B21" s="2" t="n">
        <v>1.418586725776549e-05</v>
      </c>
      <c r="C21" s="2">
        <f>B21 - $J$3</f>
        <v/>
      </c>
      <c r="D21" s="2">
        <f>C21^2</f>
        <v/>
      </c>
      <c r="E21" s="2">
        <f>C21^3</f>
        <v/>
      </c>
      <c r="F21" s="2">
        <f>(C21 / $J$5)^3</f>
        <v/>
      </c>
      <c r="G21" s="2">
        <f>(C21 / $J$5)^4</f>
        <v/>
      </c>
    </row>
    <row r="22">
      <c r="A22" s="7" t="inlineStr">
        <is>
          <t>2025-10-15</t>
        </is>
      </c>
      <c r="B22" s="2" t="n">
        <v>3.914548869943246e-05</v>
      </c>
      <c r="C22" s="2">
        <f>B22 - $J$3</f>
        <v/>
      </c>
      <c r="D22" s="2">
        <f>C22^2</f>
        <v/>
      </c>
      <c r="E22" s="2">
        <f>C22^3</f>
        <v/>
      </c>
      <c r="F22" s="2">
        <f>(C22 / $J$5)^3</f>
        <v/>
      </c>
      <c r="G22" s="2">
        <f>(C22 / $J$5)^4</f>
        <v/>
      </c>
    </row>
    <row r="23">
      <c r="A23" s="7" t="inlineStr">
        <is>
          <t>2025-11-07</t>
        </is>
      </c>
      <c r="B23" s="2" t="n">
        <v>-2.924837644968648e-06</v>
      </c>
      <c r="C23" s="2">
        <f>B23 - $J$3</f>
        <v/>
      </c>
      <c r="D23" s="2">
        <f>C23^2</f>
        <v/>
      </c>
      <c r="E23" s="2">
        <f>C23^3</f>
        <v/>
      </c>
      <c r="F23" s="2">
        <f>(C23 / $J$5)^3</f>
        <v/>
      </c>
      <c r="G23" s="2">
        <f>(C23 / $J$5)^4</f>
        <v/>
      </c>
    </row>
    <row r="24">
      <c r="A24" s="7" t="inlineStr">
        <is>
          <t>2025-11-24</t>
        </is>
      </c>
      <c r="B24" s="2" t="n">
        <v>3.129459219053388e-05</v>
      </c>
      <c r="C24" s="2">
        <f>B24 - $J$3</f>
        <v/>
      </c>
      <c r="D24" s="2">
        <f>C24^2</f>
        <v/>
      </c>
      <c r="E24" s="2">
        <f>C24^3</f>
        <v/>
      </c>
      <c r="F24" s="2">
        <f>(C24 / $J$5)^3</f>
        <v/>
      </c>
      <c r="G24" s="2">
        <f>(C24 / $J$5)^4</f>
        <v/>
      </c>
    </row>
    <row r="25">
      <c r="A25" s="7" t="inlineStr">
        <is>
          <t>2025-12-12</t>
        </is>
      </c>
      <c r="B25" s="2" t="n">
        <v>3.17445483233314e-05</v>
      </c>
      <c r="C25" s="2">
        <f>B25 - $J$3</f>
        <v/>
      </c>
      <c r="D25" s="2">
        <f>C25^2</f>
        <v/>
      </c>
      <c r="E25" s="2">
        <f>C25^3</f>
        <v/>
      </c>
      <c r="F25" s="2">
        <f>(C25 / $J$5)^3</f>
        <v/>
      </c>
      <c r="G25" s="2">
        <f>(C25 / $J$5)^4</f>
        <v/>
      </c>
    </row>
    <row r="26">
      <c r="A26" s="7" t="inlineStr">
        <is>
          <t>2025-12-13</t>
        </is>
      </c>
      <c r="B26" s="2" t="n">
        <v>2.945070627902169e-05</v>
      </c>
      <c r="C26" s="2">
        <f>B26 - $J$3</f>
        <v/>
      </c>
      <c r="D26" s="2">
        <f>C26^2</f>
        <v/>
      </c>
      <c r="E26" s="2">
        <f>C26^3</f>
        <v/>
      </c>
      <c r="F26" s="2">
        <f>(C26 / $J$5)^3</f>
        <v/>
      </c>
      <c r="G26" s="2">
        <f>(C26 / $J$5)^4</f>
        <v/>
      </c>
    </row>
    <row r="27">
      <c r="A27" s="7" t="inlineStr">
        <is>
          <t>2025-12-22</t>
        </is>
      </c>
      <c r="B27" s="2" t="n">
        <v>3.471274612820707e-05</v>
      </c>
      <c r="C27" s="2">
        <f>B27 - $J$3</f>
        <v/>
      </c>
      <c r="D27" s="2">
        <f>C27^2</f>
        <v/>
      </c>
      <c r="E27" s="2">
        <f>C27^3</f>
        <v/>
      </c>
      <c r="F27" s="2">
        <f>(C27 / $J$5)^3</f>
        <v/>
      </c>
      <c r="G27" s="2">
        <f>(C27 / $J$5)^4</f>
        <v/>
      </c>
    </row>
    <row r="28">
      <c r="A28" s="7" t="inlineStr">
        <is>
          <t>2026-01-06</t>
        </is>
      </c>
      <c r="B28" s="2" t="n">
        <v>3.913155160262249e-05</v>
      </c>
      <c r="C28" s="2">
        <f>B28 - $J$3</f>
        <v/>
      </c>
      <c r="D28" s="2">
        <f>C28^2</f>
        <v/>
      </c>
      <c r="E28" s="2">
        <f>C28^3</f>
        <v/>
      </c>
      <c r="F28" s="2">
        <f>(C28 / $J$5)^3</f>
        <v/>
      </c>
      <c r="G28" s="2">
        <f>(C28 / $J$5)^4</f>
        <v/>
      </c>
    </row>
    <row r="29">
      <c r="A29" s="7" t="inlineStr">
        <is>
          <t>2026-01-07</t>
        </is>
      </c>
      <c r="B29" s="2" t="n">
        <v>2.300609958183486e-05</v>
      </c>
      <c r="C29" s="2">
        <f>B29 - $J$3</f>
        <v/>
      </c>
      <c r="D29" s="2">
        <f>C29^2</f>
        <v/>
      </c>
      <c r="E29" s="2">
        <f>C29^3</f>
        <v/>
      </c>
      <c r="F29" s="2">
        <f>(C29 / $J$5)^3</f>
        <v/>
      </c>
      <c r="G29" s="2">
        <f>(C29 / $J$5)^4</f>
        <v/>
      </c>
    </row>
    <row r="30">
      <c r="A30" s="7" t="inlineStr">
        <is>
          <t>2026-01-30</t>
        </is>
      </c>
      <c r="B30" s="2" t="n">
        <v>2.502187271602452e-05</v>
      </c>
      <c r="C30" s="2">
        <f>B30 - $J$3</f>
        <v/>
      </c>
      <c r="D30" s="2">
        <f>C30^2</f>
        <v/>
      </c>
      <c r="E30" s="2">
        <f>C30^3</f>
        <v/>
      </c>
      <c r="F30" s="2">
        <f>(C30 / $J$5)^3</f>
        <v/>
      </c>
      <c r="G30" s="2">
        <f>(C30 / $J$5)^4</f>
        <v/>
      </c>
    </row>
    <row r="31">
      <c r="A31" s="7" t="inlineStr">
        <is>
          <t>2026-02-02</t>
        </is>
      </c>
      <c r="B31" s="2" t="n">
        <v>2.966094143630471e-05</v>
      </c>
      <c r="C31" s="2">
        <f>B31 - $J$3</f>
        <v/>
      </c>
      <c r="D31" s="2">
        <f>C31^2</f>
        <v/>
      </c>
      <c r="E31" s="2">
        <f>C31^3</f>
        <v/>
      </c>
      <c r="F31" s="2">
        <f>(C31 / $J$5)^3</f>
        <v/>
      </c>
      <c r="G31" s="2">
        <f>(C31 / $J$5)^4</f>
        <v/>
      </c>
    </row>
    <row r="32">
      <c r="A32" s="7" t="inlineStr">
        <is>
          <t>2026-03-11</t>
        </is>
      </c>
      <c r="B32" s="2" t="n">
        <v>4.100991282030009e-05</v>
      </c>
      <c r="C32" s="2">
        <f>B32 - $J$3</f>
        <v/>
      </c>
      <c r="D32" s="2">
        <f>C32^2</f>
        <v/>
      </c>
      <c r="E32" s="2">
        <f>C32^3</f>
        <v/>
      </c>
      <c r="F32" s="2">
        <f>(C32 / $J$5)^3</f>
        <v/>
      </c>
      <c r="G32" s="2">
        <f>(C32 / $J$5)^4</f>
        <v/>
      </c>
    </row>
    <row r="33">
      <c r="A33" s="7" t="inlineStr">
        <is>
          <t>2026-03-12</t>
        </is>
      </c>
      <c r="B33" s="2" t="n">
        <v>3.585144804674201e-05</v>
      </c>
      <c r="C33" s="2">
        <f>B33 - $J$3</f>
        <v/>
      </c>
      <c r="D33" s="2">
        <f>C33^2</f>
        <v/>
      </c>
      <c r="E33" s="2">
        <f>C33^3</f>
        <v/>
      </c>
      <c r="F33" s="2">
        <f>(C33 / $J$5)^3</f>
        <v/>
      </c>
      <c r="G33" s="2">
        <f>(C33 / $J$5)^4</f>
        <v/>
      </c>
    </row>
    <row r="34">
      <c r="A34" s="7" t="inlineStr">
        <is>
          <t>2026-03-13</t>
        </is>
      </c>
      <c r="B34" s="2" t="n">
        <v>4.62587340734899e-05</v>
      </c>
      <c r="C34" s="2">
        <f>B34 - $J$3</f>
        <v/>
      </c>
      <c r="D34" s="2">
        <f>C34^2</f>
        <v/>
      </c>
      <c r="E34" s="2">
        <f>C34^3</f>
        <v/>
      </c>
      <c r="F34" s="2">
        <f>(C34 / $J$5)^3</f>
        <v/>
      </c>
      <c r="G34" s="2">
        <f>(C34 / $J$5)^4</f>
        <v/>
      </c>
    </row>
    <row r="35">
      <c r="A35" s="7" t="inlineStr">
        <is>
          <t>2026-03-14</t>
        </is>
      </c>
      <c r="B35" s="2" t="n">
        <v>2.98131362796994e-05</v>
      </c>
      <c r="C35" s="2">
        <f>B35 - $J$3</f>
        <v/>
      </c>
      <c r="D35" s="2">
        <f>C35^2</f>
        <v/>
      </c>
      <c r="E35" s="2">
        <f>C35^3</f>
        <v/>
      </c>
      <c r="F35" s="2">
        <f>(C35 / $J$5)^3</f>
        <v/>
      </c>
      <c r="G35" s="2">
        <f>(C35 / $J$5)^4</f>
        <v/>
      </c>
    </row>
    <row r="36">
      <c r="A36" s="7" t="inlineStr">
        <is>
          <t>2026-03-16</t>
        </is>
      </c>
      <c r="B36" s="2" t="n">
        <v>4.401288242661394e-05</v>
      </c>
      <c r="C36" s="2">
        <f>B36 - $J$3</f>
        <v/>
      </c>
      <c r="D36" s="2">
        <f>C36^2</f>
        <v/>
      </c>
      <c r="E36" s="2">
        <f>C36^3</f>
        <v/>
      </c>
      <c r="F36" s="2">
        <f>(C36 / $J$5)^3</f>
        <v/>
      </c>
      <c r="G36" s="2">
        <f>(C36 / $J$5)^4</f>
        <v/>
      </c>
    </row>
    <row r="37">
      <c r="A37" s="7" t="inlineStr">
        <is>
          <t>2026-03-17</t>
        </is>
      </c>
      <c r="B37" s="2" t="n">
        <v>3.143305366393179e-05</v>
      </c>
      <c r="C37" s="2">
        <f>B37 - $J$3</f>
        <v/>
      </c>
      <c r="D37" s="2">
        <f>C37^2</f>
        <v/>
      </c>
      <c r="E37" s="2">
        <f>C37^3</f>
        <v/>
      </c>
      <c r="F37" s="2">
        <f>(C37 / $J$5)^3</f>
        <v/>
      </c>
      <c r="G37" s="2">
        <f>(C37 / $J$5)^4</f>
        <v/>
      </c>
    </row>
    <row r="38">
      <c r="A38" s="7" t="inlineStr">
        <is>
          <t>2026-03-18</t>
        </is>
      </c>
      <c r="B38" s="2" t="n">
        <v>1.689295095275156e-05</v>
      </c>
      <c r="C38" s="2">
        <f>B38 - $J$3</f>
        <v/>
      </c>
      <c r="D38" s="2">
        <f>C38^2</f>
        <v/>
      </c>
      <c r="E38" s="2">
        <f>C38^3</f>
        <v/>
      </c>
      <c r="F38" s="2">
        <f>(C38 / $J$5)^3</f>
        <v/>
      </c>
      <c r="G38" s="2">
        <f>(C38 / $J$5)^4</f>
        <v/>
      </c>
    </row>
    <row r="39">
      <c r="A39" s="7" t="inlineStr">
        <is>
          <t>2026-04-16</t>
        </is>
      </c>
      <c r="B39" s="2" t="n">
        <v>4.133682159590535e-05</v>
      </c>
      <c r="C39" s="2">
        <f>B39 - $J$3</f>
        <v/>
      </c>
      <c r="D39" s="2">
        <f>C39^2</f>
        <v/>
      </c>
      <c r="E39" s="2">
        <f>C39^3</f>
        <v/>
      </c>
      <c r="F39" s="2">
        <f>(C39 / $J$5)^3</f>
        <v/>
      </c>
      <c r="G39" s="2">
        <f>(C39 / $J$5)^4</f>
        <v/>
      </c>
    </row>
    <row r="40">
      <c r="A40" s="7" t="inlineStr">
        <is>
          <t>2026-04-19</t>
        </is>
      </c>
      <c r="B40" s="2" t="n">
        <v>4.770302257384174e-05</v>
      </c>
      <c r="C40" s="2">
        <f>B40 - $J$3</f>
        <v/>
      </c>
      <c r="D40" s="2">
        <f>C40^2</f>
        <v/>
      </c>
      <c r="E40" s="2">
        <f>C40^3</f>
        <v/>
      </c>
      <c r="F40" s="2">
        <f>(C40 / $J$5)^3</f>
        <v/>
      </c>
      <c r="G40" s="2">
        <f>(C40 / $J$5)^4</f>
        <v/>
      </c>
    </row>
    <row r="41">
      <c r="A41" s="7" t="inlineStr">
        <is>
          <t>2026-04-21</t>
        </is>
      </c>
      <c r="B41" s="2" t="n">
        <v>3.47709865309298e-05</v>
      </c>
      <c r="C41" s="2">
        <f>B41 - $J$3</f>
        <v/>
      </c>
      <c r="D41" s="2">
        <f>C41^2</f>
        <v/>
      </c>
      <c r="E41" s="2">
        <f>C41^3</f>
        <v/>
      </c>
      <c r="F41" s="2">
        <f>(C41 / $J$5)^3</f>
        <v/>
      </c>
      <c r="G41" s="2">
        <f>(C41 / $J$5)^4</f>
        <v/>
      </c>
    </row>
    <row r="42">
      <c r="A42" s="7" t="inlineStr">
        <is>
          <t>2026-04-24</t>
        </is>
      </c>
      <c r="B42" s="2" t="n">
        <v>2.41438301600283e-05</v>
      </c>
      <c r="C42" s="2">
        <f>B42 - $J$3</f>
        <v/>
      </c>
      <c r="D42" s="2">
        <f>C42^2</f>
        <v/>
      </c>
      <c r="E42" s="2">
        <f>C42^3</f>
        <v/>
      </c>
      <c r="F42" s="2">
        <f>(C42 / $J$5)^3</f>
        <v/>
      </c>
      <c r="G42" s="2">
        <f>(C42 / $J$5)^4</f>
        <v/>
      </c>
    </row>
    <row r="43">
      <c r="A43" s="7" t="inlineStr">
        <is>
          <t>2026-04-25</t>
        </is>
      </c>
      <c r="B43" s="2" t="n">
        <v>2.517082293707062e-06</v>
      </c>
      <c r="C43" s="2">
        <f>B43 - $J$3</f>
        <v/>
      </c>
      <c r="D43" s="2">
        <f>C43^2</f>
        <v/>
      </c>
      <c r="E43" s="2">
        <f>C43^3</f>
        <v/>
      </c>
      <c r="F43" s="2">
        <f>(C43 / $J$5)^3</f>
        <v/>
      </c>
      <c r="G43" s="2">
        <f>(C43 / $J$5)^4</f>
        <v/>
      </c>
    </row>
    <row r="44">
      <c r="A44" s="7" t="inlineStr">
        <is>
          <t>2026-04-26</t>
        </is>
      </c>
      <c r="B44" s="2" t="n">
        <v>1.330050508840941e-05</v>
      </c>
      <c r="C44" s="2">
        <f>B44 - $J$3</f>
        <v/>
      </c>
      <c r="D44" s="2">
        <f>C44^2</f>
        <v/>
      </c>
      <c r="E44" s="2">
        <f>C44^3</f>
        <v/>
      </c>
      <c r="F44" s="2">
        <f>(C44 / $J$5)^3</f>
        <v/>
      </c>
      <c r="G44" s="2">
        <f>(C44 / $J$5)^4</f>
        <v/>
      </c>
    </row>
    <row r="45">
      <c r="A45" s="7" t="inlineStr">
        <is>
          <t>2026-05-12</t>
        </is>
      </c>
      <c r="B45" s="2" t="n">
        <v>3.82965081371367e-05</v>
      </c>
      <c r="C45" s="2">
        <f>B45 - $J$3</f>
        <v/>
      </c>
      <c r="D45" s="2">
        <f>C45^2</f>
        <v/>
      </c>
      <c r="E45" s="2">
        <f>C45^3</f>
        <v/>
      </c>
      <c r="F45" s="2">
        <f>(C45 / $J$5)^3</f>
        <v/>
      </c>
      <c r="G45" s="2">
        <f>(C45 / $J$5)^4</f>
        <v/>
      </c>
    </row>
    <row r="46">
      <c r="A46" s="7" t="inlineStr">
        <is>
          <t>2026-05-26</t>
        </is>
      </c>
      <c r="B46" s="2" t="n">
        <v>3.118355743936263e-05</v>
      </c>
      <c r="C46" s="2">
        <f>B46 - $J$3</f>
        <v/>
      </c>
      <c r="D46" s="2">
        <f>C46^2</f>
        <v/>
      </c>
      <c r="E46" s="2">
        <f>C46^3</f>
        <v/>
      </c>
      <c r="F46" s="2">
        <f>(C46 / $J$5)^3</f>
        <v/>
      </c>
      <c r="G46" s="2">
        <f>(C46 / $J$5)^4</f>
        <v/>
      </c>
    </row>
    <row r="47">
      <c r="A47" s="7" t="inlineStr">
        <is>
          <t>2026-05-27</t>
        </is>
      </c>
      <c r="B47" s="2" t="n">
        <v>4.260169953340665e-05</v>
      </c>
      <c r="C47" s="2">
        <f>B47 - $J$3</f>
        <v/>
      </c>
      <c r="D47" s="2">
        <f>C47^2</f>
        <v/>
      </c>
      <c r="E47" s="2">
        <f>C47^3</f>
        <v/>
      </c>
      <c r="F47" s="2">
        <f>(C47 / $J$5)^3</f>
        <v/>
      </c>
      <c r="G47" s="2">
        <f>(C47 / $J$5)^4</f>
        <v/>
      </c>
    </row>
    <row r="48">
      <c r="A48" s="7" t="inlineStr">
        <is>
          <t>2026-05-28</t>
        </is>
      </c>
      <c r="B48" s="2" t="n">
        <v>6.319116801023483e-05</v>
      </c>
      <c r="C48" s="2">
        <f>B48 - $J$3</f>
        <v/>
      </c>
      <c r="D48" s="2">
        <f>C48^2</f>
        <v/>
      </c>
      <c r="E48" s="2">
        <f>C48^3</f>
        <v/>
      </c>
      <c r="F48" s="2">
        <f>(C48 / $J$5)^3</f>
        <v/>
      </c>
      <c r="G48" s="2">
        <f>(C48 / $J$5)^4</f>
        <v/>
      </c>
    </row>
    <row r="49">
      <c r="A49" s="7" t="inlineStr">
        <is>
          <t>2026-06-07</t>
        </is>
      </c>
      <c r="B49" s="2" t="n">
        <v>5.0523885875009e-05</v>
      </c>
      <c r="C49" s="2">
        <f>B49 - $J$3</f>
        <v/>
      </c>
      <c r="D49" s="2">
        <f>C49^2</f>
        <v/>
      </c>
      <c r="E49" s="2">
        <f>C49^3</f>
        <v/>
      </c>
      <c r="F49" s="2">
        <f>(C49 / $J$5)^3</f>
        <v/>
      </c>
      <c r="G49" s="2">
        <f>(C49 / $J$5)^4</f>
        <v/>
      </c>
    </row>
    <row r="50">
      <c r="A50" s="7" t="inlineStr">
        <is>
          <t>2026-06-10</t>
        </is>
      </c>
      <c r="B50" s="2" t="n">
        <v>6.789236067561433e-05</v>
      </c>
      <c r="C50" s="2">
        <f>B50 - $J$3</f>
        <v/>
      </c>
      <c r="D50" s="2">
        <f>C50^2</f>
        <v/>
      </c>
      <c r="E50" s="2">
        <f>C50^3</f>
        <v/>
      </c>
      <c r="F50" s="2">
        <f>(C50 / $J$5)^3</f>
        <v/>
      </c>
      <c r="G50" s="2">
        <f>(C50 / $J$5)^4</f>
        <v/>
      </c>
    </row>
    <row r="51">
      <c r="A51" s="7" t="inlineStr">
        <is>
          <t>2026-06-11</t>
        </is>
      </c>
      <c r="B51" s="2" t="n">
        <v>4.962193270330317e-05</v>
      </c>
      <c r="C51" s="2">
        <f>B51 - $J$3</f>
        <v/>
      </c>
      <c r="D51" s="2">
        <f>C51^2</f>
        <v/>
      </c>
      <c r="E51" s="2">
        <f>C51^3</f>
        <v/>
      </c>
      <c r="F51" s="2">
        <f>(C51 / $J$5)^3</f>
        <v/>
      </c>
      <c r="G51" s="2">
        <f>(C51 / $J$5)^4</f>
        <v/>
      </c>
    </row>
    <row r="52">
      <c r="A52" s="7" t="inlineStr">
        <is>
          <t>2026-06-12</t>
        </is>
      </c>
      <c r="B52" s="2" t="n">
        <v>4.560008528642357e-05</v>
      </c>
      <c r="C52" s="2">
        <f>B52 - $J$3</f>
        <v/>
      </c>
      <c r="D52" s="2">
        <f>C52^2</f>
        <v/>
      </c>
      <c r="E52" s="2">
        <f>C52^3</f>
        <v/>
      </c>
      <c r="F52" s="2">
        <f>(C52 / $J$5)^3</f>
        <v/>
      </c>
      <c r="G52" s="2">
        <f>(C52 / $J$5)^4</f>
        <v/>
      </c>
    </row>
    <row r="53">
      <c r="A53" s="7" t="inlineStr">
        <is>
          <t>2026-06-18</t>
        </is>
      </c>
      <c r="B53" s="2" t="n">
        <v>5.605834667221643e-05</v>
      </c>
      <c r="C53" s="2">
        <f>B53 - $J$3</f>
        <v/>
      </c>
      <c r="D53" s="2">
        <f>C53^2</f>
        <v/>
      </c>
      <c r="E53" s="2">
        <f>C53^3</f>
        <v/>
      </c>
      <c r="F53" s="2">
        <f>(C53 / $J$5)^3</f>
        <v/>
      </c>
      <c r="G53" s="2">
        <f>(C53 / $J$5)^4</f>
        <v/>
      </c>
    </row>
    <row r="54">
      <c r="A54" s="7" t="inlineStr">
        <is>
          <t>2026-06-19</t>
        </is>
      </c>
      <c r="B54" s="2" t="n">
        <v>1.759057704475708e-05</v>
      </c>
      <c r="C54" s="2">
        <f>B54 - $J$3</f>
        <v/>
      </c>
      <c r="D54" s="2">
        <f>C54^2</f>
        <v/>
      </c>
      <c r="E54" s="2">
        <f>C54^3</f>
        <v/>
      </c>
      <c r="F54" s="2">
        <f>(C54 / $J$5)^3</f>
        <v/>
      </c>
      <c r="G54" s="2">
        <f>(C54 / $J$5)^4</f>
        <v/>
      </c>
    </row>
    <row r="55">
      <c r="A55" s="7" t="inlineStr">
        <is>
          <t>2026-06-22</t>
        </is>
      </c>
      <c r="B55" s="2" t="n">
        <v>3.345298682688735e-05</v>
      </c>
      <c r="C55" s="2">
        <f>B55 - $J$3</f>
        <v/>
      </c>
      <c r="D55" s="2">
        <f>C55^2</f>
        <v/>
      </c>
      <c r="E55" s="2">
        <f>C55^3</f>
        <v/>
      </c>
      <c r="F55" s="2">
        <f>(C55 / $J$5)^3</f>
        <v/>
      </c>
      <c r="G55" s="2">
        <f>(C55 / $J$5)^4</f>
        <v/>
      </c>
    </row>
    <row r="56">
      <c r="A56" s="7" t="inlineStr">
        <is>
          <t>2026-06-29</t>
        </is>
      </c>
      <c r="B56" s="2" t="n">
        <v>3.575701703084633e-05</v>
      </c>
      <c r="C56" s="2">
        <f>B56 - $J$3</f>
        <v/>
      </c>
      <c r="D56" s="2">
        <f>C56^2</f>
        <v/>
      </c>
      <c r="E56" s="2">
        <f>C56^3</f>
        <v/>
      </c>
      <c r="F56" s="2">
        <f>(C56 / $J$5)^3</f>
        <v/>
      </c>
      <c r="G56" s="2">
        <f>(C56 / $J$5)^4</f>
        <v/>
      </c>
    </row>
    <row r="57">
      <c r="A57" s="7" t="inlineStr">
        <is>
          <t>2026-07-01</t>
        </is>
      </c>
      <c r="B57" s="2" t="n">
        <v>2.960710844490677e-05</v>
      </c>
      <c r="C57" s="2">
        <f>B57 - $J$3</f>
        <v/>
      </c>
      <c r="D57" s="2">
        <f>C57^2</f>
        <v/>
      </c>
      <c r="E57" s="2">
        <f>C57^3</f>
        <v/>
      </c>
      <c r="F57" s="2">
        <f>(C57 / $J$5)^3</f>
        <v/>
      </c>
      <c r="G57" s="2">
        <f>(C57 / $J$5)^4</f>
        <v/>
      </c>
    </row>
    <row r="58">
      <c r="A58" s="7" t="inlineStr">
        <is>
          <t>2026-07-02</t>
        </is>
      </c>
      <c r="B58" s="2" t="n">
        <v>3.485469642328098e-05</v>
      </c>
      <c r="C58" s="2">
        <f>B58 - $J$3</f>
        <v/>
      </c>
      <c r="D58" s="2">
        <f>C58^2</f>
        <v/>
      </c>
      <c r="E58" s="2">
        <f>C58^3</f>
        <v/>
      </c>
      <c r="F58" s="2">
        <f>(C58 / $J$5)^3</f>
        <v/>
      </c>
      <c r="G58" s="2">
        <f>(C58 / $J$5)^4</f>
        <v/>
      </c>
    </row>
    <row r="59">
      <c r="A59" s="7" t="inlineStr">
        <is>
          <t>2026-07-07</t>
        </is>
      </c>
      <c r="B59" s="2" t="n">
        <v>4.564063783618622e-05</v>
      </c>
      <c r="C59" s="2">
        <f>B59 - $J$3</f>
        <v/>
      </c>
      <c r="D59" s="2">
        <f>C59^2</f>
        <v/>
      </c>
      <c r="E59" s="2">
        <f>C59^3</f>
        <v/>
      </c>
      <c r="F59" s="2">
        <f>(C59 / $J$5)^3</f>
        <v/>
      </c>
      <c r="G59" s="2">
        <f>(C59 / $J$5)^4</f>
        <v/>
      </c>
    </row>
    <row r="60">
      <c r="A60" s="7" t="inlineStr">
        <is>
          <t>2026-07-08</t>
        </is>
      </c>
      <c r="B60" s="2" t="n">
        <v>4.530157093540765e-05</v>
      </c>
      <c r="C60" s="2">
        <f>B60 - $J$3</f>
        <v/>
      </c>
      <c r="D60" s="2">
        <f>C60^2</f>
        <v/>
      </c>
      <c r="E60" s="2">
        <f>C60^3</f>
        <v/>
      </c>
      <c r="F60" s="2">
        <f>(C60 / $J$5)^3</f>
        <v/>
      </c>
      <c r="G60" s="2">
        <f>(C60 / $J$5)^4</f>
        <v/>
      </c>
    </row>
    <row r="61">
      <c r="A61" s="7" t="inlineStr">
        <is>
          <t>2026-07-09</t>
        </is>
      </c>
      <c r="B61" s="2" t="n">
        <v>3.76975949620828e-05</v>
      </c>
      <c r="C61" s="2">
        <f>B61 - $J$3</f>
        <v/>
      </c>
      <c r="D61" s="2">
        <f>C61^2</f>
        <v/>
      </c>
      <c r="E61" s="2">
        <f>C61^3</f>
        <v/>
      </c>
      <c r="F61" s="2">
        <f>(C61 / $J$5)^3</f>
        <v/>
      </c>
      <c r="G61" s="2">
        <f>(C61 / $J$5)^4</f>
        <v/>
      </c>
    </row>
    <row r="62">
      <c r="A62" s="7" t="inlineStr">
        <is>
          <t>2026-07-10</t>
        </is>
      </c>
      <c r="B62" s="2" t="n">
        <v>5.345969111658633e-05</v>
      </c>
      <c r="C62" s="2">
        <f>B62 - $J$3</f>
        <v/>
      </c>
      <c r="D62" s="2">
        <f>C62^2</f>
        <v/>
      </c>
      <c r="E62" s="2">
        <f>C62^3</f>
        <v/>
      </c>
      <c r="F62" s="2">
        <f>(C62 / $J$5)^3</f>
        <v/>
      </c>
      <c r="G62" s="2">
        <f>(C62 / $J$5)^4</f>
        <v/>
      </c>
    </row>
    <row r="63">
      <c r="A63" s="7" t="inlineStr">
        <is>
          <t>2026-07-11</t>
        </is>
      </c>
      <c r="B63" s="2" t="n">
        <v>6.1620376072824e-05</v>
      </c>
      <c r="C63" s="2">
        <f>B63 - $J$3</f>
        <v/>
      </c>
      <c r="D63" s="2">
        <f>C63^2</f>
        <v/>
      </c>
      <c r="E63" s="2">
        <f>C63^3</f>
        <v/>
      </c>
      <c r="F63" s="2">
        <f>(C63 / $J$5)^3</f>
        <v/>
      </c>
      <c r="G63" s="2">
        <f>(C63 / $J$5)^4</f>
        <v/>
      </c>
    </row>
    <row r="64">
      <c r="A64" s="7" t="inlineStr">
        <is>
          <t>2026-07-13</t>
        </is>
      </c>
      <c r="B64" s="2" t="n">
        <v>3.905867561115883e-05</v>
      </c>
      <c r="C64" s="2">
        <f>B64 - $J$3</f>
        <v/>
      </c>
      <c r="D64" s="2">
        <f>C64^2</f>
        <v/>
      </c>
      <c r="E64" s="2">
        <f>C64^3</f>
        <v/>
      </c>
      <c r="F64" s="2">
        <f>(C64 / $J$5)^3</f>
        <v/>
      </c>
      <c r="G64" s="2">
        <f>(C64 / $J$5)^4</f>
        <v/>
      </c>
    </row>
    <row r="65">
      <c r="A65" s="7" t="inlineStr">
        <is>
          <t>2026-07-19</t>
        </is>
      </c>
      <c r="B65" s="2" t="n">
        <v>4.974233888788149e-05</v>
      </c>
      <c r="C65" s="2">
        <f>B65 - $J$3</f>
        <v/>
      </c>
      <c r="D65" s="2">
        <f>C65^2</f>
        <v/>
      </c>
      <c r="E65" s="2">
        <f>C65^3</f>
        <v/>
      </c>
      <c r="F65" s="2">
        <f>(C65 / $J$5)^3</f>
        <v/>
      </c>
      <c r="G65" s="2">
        <f>(C65 / $J$5)^4</f>
        <v/>
      </c>
    </row>
    <row r="66">
      <c r="A66" s="7" t="inlineStr">
        <is>
          <t>2026-07-22</t>
        </is>
      </c>
      <c r="B66" s="2" t="n">
        <v>3.673309038276784e-05</v>
      </c>
      <c r="C66" s="2">
        <f>B66 - $J$3</f>
        <v/>
      </c>
      <c r="D66" s="2">
        <f>C66^2</f>
        <v/>
      </c>
      <c r="E66" s="2">
        <f>C66^3</f>
        <v/>
      </c>
      <c r="F66" s="2">
        <f>(C66 / $J$5)^3</f>
        <v/>
      </c>
      <c r="G66" s="2">
        <f>(C66 / $J$5)^4</f>
        <v/>
      </c>
    </row>
    <row r="67">
      <c r="A67" s="7" t="inlineStr">
        <is>
          <t>2026-07-24</t>
        </is>
      </c>
      <c r="B67" s="2" t="n">
        <v>2.79711475741351e-05</v>
      </c>
      <c r="C67" s="2">
        <f>B67 - $J$3</f>
        <v/>
      </c>
      <c r="D67" s="2">
        <f>C67^2</f>
        <v/>
      </c>
      <c r="E67" s="2">
        <f>C67^3</f>
        <v/>
      </c>
      <c r="F67" s="2">
        <f>(C67 / $J$5)^3</f>
        <v/>
      </c>
      <c r="G67" s="2">
        <f>(C67 / $J$5)^4</f>
        <v/>
      </c>
    </row>
    <row r="68">
      <c r="A68" s="7" t="inlineStr">
        <is>
          <t>2026-07-25</t>
        </is>
      </c>
      <c r="B68" s="2" t="n">
        <v>4.270995850674808e-05</v>
      </c>
      <c r="C68" s="2">
        <f>B68 - $J$3</f>
        <v/>
      </c>
      <c r="D68" s="2">
        <f>C68^2</f>
        <v/>
      </c>
      <c r="E68" s="2">
        <f>C68^3</f>
        <v/>
      </c>
      <c r="F68" s="2">
        <f>(C68 / $J$5)^3</f>
        <v/>
      </c>
      <c r="G68" s="2">
        <f>(C68 / $J$5)^4</f>
        <v/>
      </c>
    </row>
    <row r="69">
      <c r="A69" s="7" t="inlineStr">
        <is>
          <t>2026-07-26</t>
        </is>
      </c>
      <c r="B69" s="2" t="n">
        <v>2.7176882213098e-05</v>
      </c>
      <c r="C69" s="2">
        <f>B69 - $J$3</f>
        <v/>
      </c>
      <c r="D69" s="2">
        <f>C69^2</f>
        <v/>
      </c>
      <c r="E69" s="2">
        <f>C69^3</f>
        <v/>
      </c>
      <c r="F69" s="2">
        <f>(C69 / $J$5)^3</f>
        <v/>
      </c>
      <c r="G69" s="2">
        <f>(C69 / $J$5)^4</f>
        <v/>
      </c>
    </row>
    <row r="70">
      <c r="A70" s="7" t="inlineStr">
        <is>
          <t>2026-08-05</t>
        </is>
      </c>
      <c r="B70" s="2" t="n">
        <v>7.950478175189346e-05</v>
      </c>
      <c r="C70" s="2">
        <f>B70 - $J$3</f>
        <v/>
      </c>
      <c r="D70" s="2">
        <f>C70^2</f>
        <v/>
      </c>
      <c r="E70" s="2">
        <f>C70^3</f>
        <v/>
      </c>
      <c r="F70" s="2">
        <f>(C70 / $J$5)^3</f>
        <v/>
      </c>
      <c r="G70" s="2">
        <f>(C70 / $J$5)^4</f>
        <v/>
      </c>
    </row>
    <row r="71">
      <c r="A71" s="7" t="inlineStr">
        <is>
          <t>2026-08-08</t>
        </is>
      </c>
      <c r="B71" s="2" t="n">
        <v>4.606560105457902e-05</v>
      </c>
      <c r="C71" s="2">
        <f>B71 - $J$3</f>
        <v/>
      </c>
      <c r="D71" s="2">
        <f>C71^2</f>
        <v/>
      </c>
      <c r="E71" s="2">
        <f>C71^3</f>
        <v/>
      </c>
      <c r="F71" s="2">
        <f>(C71 / $J$5)^3</f>
        <v/>
      </c>
      <c r="G71" s="2">
        <f>(C71 / $J$5)^4</f>
        <v/>
      </c>
    </row>
    <row r="72">
      <c r="A72" s="7" t="inlineStr">
        <is>
          <t>2026-08-09</t>
        </is>
      </c>
      <c r="B72" s="2" t="n">
        <v>4.424553480930626e-05</v>
      </c>
      <c r="C72" s="2">
        <f>B72 - $J$3</f>
        <v/>
      </c>
      <c r="D72" s="2">
        <f>C72^2</f>
        <v/>
      </c>
      <c r="E72" s="2">
        <f>C72^3</f>
        <v/>
      </c>
      <c r="F72" s="2">
        <f>(C72 / $J$5)^3</f>
        <v/>
      </c>
      <c r="G72" s="2">
        <f>(C72 / $J$5)^4</f>
        <v/>
      </c>
    </row>
    <row r="73">
      <c r="A73" s="7" t="inlineStr">
        <is>
          <t>2026-08-11</t>
        </is>
      </c>
      <c r="B73" s="2" t="n">
        <v>4.785553028341383e-05</v>
      </c>
      <c r="C73" s="2">
        <f>B73 - $J$3</f>
        <v/>
      </c>
      <c r="D73" s="2">
        <f>C73^2</f>
        <v/>
      </c>
      <c r="E73" s="2">
        <f>C73^3</f>
        <v/>
      </c>
      <c r="F73" s="2">
        <f>(C73 / $J$5)^3</f>
        <v/>
      </c>
      <c r="G73" s="2">
        <f>(C73 / $J$5)^4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1" customWidth="1" min="4" max="4"/>
    <col width="11" customWidth="1" min="5" max="5"/>
    <col width="18" customWidth="1" min="6" max="6"/>
    <col width="18" customWidth="1" min="7" max="7"/>
    <col width="2" customWidth="1" min="8" max="8"/>
    <col width="23" customWidth="1" min="9" max="9"/>
    <col width="25" customWidth="1" min="10" max="10"/>
  </cols>
  <sheetData>
    <row r="1">
      <c r="A1" s="3" t="inlineStr">
        <is>
          <t>Perhitungan Manual Statistik Polutan: O3</t>
        </is>
      </c>
    </row>
    <row r="2">
      <c r="I2" s="4" t="inlineStr">
        <is>
          <t>Count (n)</t>
        </is>
      </c>
      <c r="J2" s="5">
        <f>COUNT(B12:B360)</f>
        <v/>
      </c>
    </row>
    <row r="3">
      <c r="I3" s="4" t="inlineStr">
        <is>
          <t>Mean (x̄)</t>
        </is>
      </c>
      <c r="J3" s="5">
        <f>AVERAGE(B12:B360)</f>
        <v/>
      </c>
    </row>
    <row r="4">
      <c r="I4" s="4" t="inlineStr">
        <is>
          <t>Variansi (s²)</t>
        </is>
      </c>
      <c r="J4" s="5">
        <f>SUM(D12:D360) / (J2 - 1)</f>
        <v/>
      </c>
    </row>
    <row r="5">
      <c r="I5" s="4" t="inlineStr">
        <is>
          <t>Std Deviasi (s)</t>
        </is>
      </c>
      <c r="J5" s="5">
        <f>SQRT(J4)</f>
        <v/>
      </c>
    </row>
    <row r="6">
      <c r="I6" s="4" t="inlineStr">
        <is>
          <t>Sum ((x - x̄)/s)³</t>
        </is>
      </c>
      <c r="J6" s="5">
        <f>SUM(F12:F360)</f>
        <v/>
      </c>
    </row>
    <row r="7">
      <c r="I7" s="4" t="inlineStr">
        <is>
          <t>Sum ((x - x̄)/s)⁴</t>
        </is>
      </c>
      <c r="J7" s="5">
        <f>SUM(G12:G360)</f>
        <v/>
      </c>
    </row>
    <row r="8">
      <c r="I8" s="4" t="inlineStr">
        <is>
          <t>Skewness (Manual)</t>
        </is>
      </c>
      <c r="J8" s="5">
        <f>(J2 / ((J2 - 1) * (J2 - 2))) * J6</f>
        <v/>
      </c>
    </row>
    <row r="9">
      <c r="I9" s="4" t="inlineStr">
        <is>
          <t>Kurtosis (Manual)</t>
        </is>
      </c>
      <c r="J9" s="5">
        <f>(J2 * (J2 + 1) / ((J2 - 1) * (J2 - 2) * (J2 - 3))) * J7 - (3 * (J2 - 1)^2 / ((J2 - 2) * (J2 - 3)))</f>
        <v/>
      </c>
    </row>
    <row r="10">
      <c r="I10" s="4" t="inlineStr">
        <is>
          <t>Excel SKEW (Validasi)</t>
        </is>
      </c>
      <c r="J10" s="6">
        <f>SKEW(B12:B360)</f>
        <v/>
      </c>
    </row>
    <row r="11">
      <c r="A11" s="1" t="inlineStr">
        <is>
          <t>Date</t>
        </is>
      </c>
      <c r="B11" s="1" t="inlineStr">
        <is>
          <t>x (Nilai Polutan)</t>
        </is>
      </c>
      <c r="C11" s="1" t="inlineStr">
        <is>
          <t>Deviasi (x - x̄)</t>
        </is>
      </c>
      <c r="D11" s="1" t="inlineStr">
        <is>
          <t>(x - x̄)²</t>
        </is>
      </c>
      <c r="E11" s="1" t="inlineStr">
        <is>
          <t>(x - x̄)³</t>
        </is>
      </c>
      <c r="F11" s="1" t="inlineStr">
        <is>
          <t>((x - x̄)/s)³</t>
        </is>
      </c>
      <c r="G11" s="1" t="inlineStr">
        <is>
          <t>((x - x̄)/s)⁴</t>
        </is>
      </c>
      <c r="I11" s="4" t="inlineStr">
        <is>
          <t>Excel KURT (Validasi)</t>
        </is>
      </c>
      <c r="J11" s="6">
        <f>KURT(B12:B360)</f>
        <v/>
      </c>
    </row>
    <row r="12">
      <c r="A12" s="7" t="inlineStr">
        <is>
          <t>2025-08-27</t>
        </is>
      </c>
      <c r="B12" s="2" t="n">
        <v>0.1139900088310241</v>
      </c>
      <c r="C12" s="2">
        <f>B12 - $J$3</f>
        <v/>
      </c>
      <c r="D12" s="2">
        <f>C12^2</f>
        <v/>
      </c>
      <c r="E12" s="2">
        <f>C12^3</f>
        <v/>
      </c>
      <c r="F12" s="2">
        <f>(C12 / $J$5)^3</f>
        <v/>
      </c>
      <c r="G12" s="2">
        <f>(C12 / $J$5)^4</f>
        <v/>
      </c>
    </row>
    <row r="13">
      <c r="A13" s="7" t="inlineStr">
        <is>
          <t>2025-08-28</t>
        </is>
      </c>
      <c r="B13" s="2" t="n">
        <v>0.118087388575077</v>
      </c>
      <c r="C13" s="2">
        <f>B13 - $J$3</f>
        <v/>
      </c>
      <c r="D13" s="2">
        <f>C13^2</f>
        <v/>
      </c>
      <c r="E13" s="2">
        <f>C13^3</f>
        <v/>
      </c>
      <c r="F13" s="2">
        <f>(C13 / $J$5)^3</f>
        <v/>
      </c>
      <c r="G13" s="2">
        <f>(C13 / $J$5)^4</f>
        <v/>
      </c>
    </row>
    <row r="14">
      <c r="A14" s="7" t="inlineStr">
        <is>
          <t>2025-08-29</t>
        </is>
      </c>
      <c r="B14" s="2" t="n">
        <v>0.1166912913322448</v>
      </c>
      <c r="C14" s="2">
        <f>B14 - $J$3</f>
        <v/>
      </c>
      <c r="D14" s="2">
        <f>C14^2</f>
        <v/>
      </c>
      <c r="E14" s="2">
        <f>C14^3</f>
        <v/>
      </c>
      <c r="F14" s="2">
        <f>(C14 / $J$5)^3</f>
        <v/>
      </c>
      <c r="G14" s="2">
        <f>(C14 / $J$5)^4</f>
        <v/>
      </c>
    </row>
    <row r="15">
      <c r="A15" s="7" t="inlineStr">
        <is>
          <t>2025-08-30</t>
        </is>
      </c>
      <c r="B15" s="2" t="n">
        <v>0.1132422685623169</v>
      </c>
      <c r="C15" s="2">
        <f>B15 - $J$3</f>
        <v/>
      </c>
      <c r="D15" s="2">
        <f>C15^2</f>
        <v/>
      </c>
      <c r="E15" s="2">
        <f>C15^3</f>
        <v/>
      </c>
      <c r="F15" s="2">
        <f>(C15 / $J$5)^3</f>
        <v/>
      </c>
      <c r="G15" s="2">
        <f>(C15 / $J$5)^4</f>
        <v/>
      </c>
    </row>
    <row r="16">
      <c r="A16" s="7" t="inlineStr">
        <is>
          <t>2025-08-31</t>
        </is>
      </c>
      <c r="B16" s="2" t="n">
        <v>0.1146966218948364</v>
      </c>
      <c r="C16" s="2">
        <f>B16 - $J$3</f>
        <v/>
      </c>
      <c r="D16" s="2">
        <f>C16^2</f>
        <v/>
      </c>
      <c r="E16" s="2">
        <f>C16^3</f>
        <v/>
      </c>
      <c r="F16" s="2">
        <f>(C16 / $J$5)^3</f>
        <v/>
      </c>
      <c r="G16" s="2">
        <f>(C16 / $J$5)^4</f>
        <v/>
      </c>
    </row>
    <row r="17">
      <c r="A17" s="7" t="inlineStr">
        <is>
          <t>2025-09-01</t>
        </is>
      </c>
      <c r="B17" s="2" t="n">
        <v>0.1186669692397117</v>
      </c>
      <c r="C17" s="2">
        <f>B17 - $J$3</f>
        <v/>
      </c>
      <c r="D17" s="2">
        <f>C17^2</f>
        <v/>
      </c>
      <c r="E17" s="2">
        <f>C17^3</f>
        <v/>
      </c>
      <c r="F17" s="2">
        <f>(C17 / $J$5)^3</f>
        <v/>
      </c>
      <c r="G17" s="2">
        <f>(C17 / $J$5)^4</f>
        <v/>
      </c>
    </row>
    <row r="18">
      <c r="A18" s="7" t="inlineStr">
        <is>
          <t>2025-09-02</t>
        </is>
      </c>
      <c r="B18" s="2" t="n">
        <v>0.1176764816045761</v>
      </c>
      <c r="C18" s="2">
        <f>B18 - $J$3</f>
        <v/>
      </c>
      <c r="D18" s="2">
        <f>C18^2</f>
        <v/>
      </c>
      <c r="E18" s="2">
        <f>C18^3</f>
        <v/>
      </c>
      <c r="F18" s="2">
        <f>(C18 / $J$5)^3</f>
        <v/>
      </c>
      <c r="G18" s="2">
        <f>(C18 / $J$5)^4</f>
        <v/>
      </c>
    </row>
    <row r="19">
      <c r="A19" s="7" t="inlineStr">
        <is>
          <t>2025-09-03</t>
        </is>
      </c>
      <c r="B19" s="2" t="n">
        <v>0.1145406737923622</v>
      </c>
      <c r="C19" s="2">
        <f>B19 - $J$3</f>
        <v/>
      </c>
      <c r="D19" s="2">
        <f>C19^2</f>
        <v/>
      </c>
      <c r="E19" s="2">
        <f>C19^3</f>
        <v/>
      </c>
      <c r="F19" s="2">
        <f>(C19 / $J$5)^3</f>
        <v/>
      </c>
      <c r="G19" s="2">
        <f>(C19 / $J$5)^4</f>
        <v/>
      </c>
    </row>
    <row r="20">
      <c r="A20" s="7" t="inlineStr">
        <is>
          <t>2025-09-04</t>
        </is>
      </c>
      <c r="B20" s="2" t="n">
        <v>0.1143060103058815</v>
      </c>
      <c r="C20" s="2">
        <f>B20 - $J$3</f>
        <v/>
      </c>
      <c r="D20" s="2">
        <f>C20^2</f>
        <v/>
      </c>
      <c r="E20" s="2">
        <f>C20^3</f>
        <v/>
      </c>
      <c r="F20" s="2">
        <f>(C20 / $J$5)^3</f>
        <v/>
      </c>
      <c r="G20" s="2">
        <f>(C20 / $J$5)^4</f>
        <v/>
      </c>
    </row>
    <row r="21">
      <c r="A21" s="7" t="inlineStr">
        <is>
          <t>2025-09-05</t>
        </is>
      </c>
      <c r="B21" s="2" t="n">
        <v>0.113018199801445</v>
      </c>
      <c r="C21" s="2">
        <f>B21 - $J$3</f>
        <v/>
      </c>
      <c r="D21" s="2">
        <f>C21^2</f>
        <v/>
      </c>
      <c r="E21" s="2">
        <f>C21^3</f>
        <v/>
      </c>
      <c r="F21" s="2">
        <f>(C21 / $J$5)^3</f>
        <v/>
      </c>
      <c r="G21" s="2">
        <f>(C21 / $J$5)^4</f>
        <v/>
      </c>
    </row>
    <row r="22">
      <c r="A22" s="7" t="inlineStr">
        <is>
          <t>2025-09-06</t>
        </is>
      </c>
      <c r="B22" s="2" t="n">
        <v>0.1129145473241806</v>
      </c>
      <c r="C22" s="2">
        <f>B22 - $J$3</f>
        <v/>
      </c>
      <c r="D22" s="2">
        <f>C22^2</f>
        <v/>
      </c>
      <c r="E22" s="2">
        <f>C22^3</f>
        <v/>
      </c>
      <c r="F22" s="2">
        <f>(C22 / $J$5)^3</f>
        <v/>
      </c>
      <c r="G22" s="2">
        <f>(C22 / $J$5)^4</f>
        <v/>
      </c>
    </row>
    <row r="23">
      <c r="A23" s="7" t="inlineStr">
        <is>
          <t>2025-09-07</t>
        </is>
      </c>
      <c r="B23" s="2" t="n">
        <v>0.1130868643522262</v>
      </c>
      <c r="C23" s="2">
        <f>B23 - $J$3</f>
        <v/>
      </c>
      <c r="D23" s="2">
        <f>C23^2</f>
        <v/>
      </c>
      <c r="E23" s="2">
        <f>C23^3</f>
        <v/>
      </c>
      <c r="F23" s="2">
        <f>(C23 / $J$5)^3</f>
        <v/>
      </c>
      <c r="G23" s="2">
        <f>(C23 / $J$5)^4</f>
        <v/>
      </c>
    </row>
    <row r="24">
      <c r="A24" s="7" t="inlineStr">
        <is>
          <t>2025-09-08</t>
        </is>
      </c>
      <c r="B24" s="2" t="n">
        <v>0.1158789321780204</v>
      </c>
      <c r="C24" s="2">
        <f>B24 - $J$3</f>
        <v/>
      </c>
      <c r="D24" s="2">
        <f>C24^2</f>
        <v/>
      </c>
      <c r="E24" s="2">
        <f>C24^3</f>
        <v/>
      </c>
      <c r="F24" s="2">
        <f>(C24 / $J$5)^3</f>
        <v/>
      </c>
      <c r="G24" s="2">
        <f>(C24 / $J$5)^4</f>
        <v/>
      </c>
    </row>
    <row r="25">
      <c r="A25" s="7" t="inlineStr">
        <is>
          <t>2025-09-09</t>
        </is>
      </c>
      <c r="B25" s="2" t="n">
        <v>0.1111980378627777</v>
      </c>
      <c r="C25" s="2">
        <f>B25 - $J$3</f>
        <v/>
      </c>
      <c r="D25" s="2">
        <f>C25^2</f>
        <v/>
      </c>
      <c r="E25" s="2">
        <f>C25^3</f>
        <v/>
      </c>
      <c r="F25" s="2">
        <f>(C25 / $J$5)^3</f>
        <v/>
      </c>
      <c r="G25" s="2">
        <f>(C25 / $J$5)^4</f>
        <v/>
      </c>
    </row>
    <row r="26">
      <c r="A26" s="7" t="inlineStr">
        <is>
          <t>2025-09-10</t>
        </is>
      </c>
      <c r="B26" s="2" t="n">
        <v>0.1151124760508537</v>
      </c>
      <c r="C26" s="2">
        <f>B26 - $J$3</f>
        <v/>
      </c>
      <c r="D26" s="2">
        <f>C26^2</f>
        <v/>
      </c>
      <c r="E26" s="2">
        <f>C26^3</f>
        <v/>
      </c>
      <c r="F26" s="2">
        <f>(C26 / $J$5)^3</f>
        <v/>
      </c>
      <c r="G26" s="2">
        <f>(C26 / $J$5)^4</f>
        <v/>
      </c>
    </row>
    <row r="27">
      <c r="A27" s="7" t="inlineStr">
        <is>
          <t>2025-09-11</t>
        </is>
      </c>
      <c r="B27" s="2" t="n">
        <v>0.113415814936161</v>
      </c>
      <c r="C27" s="2">
        <f>B27 - $J$3</f>
        <v/>
      </c>
      <c r="D27" s="2">
        <f>C27^2</f>
        <v/>
      </c>
      <c r="E27" s="2">
        <f>C27^3</f>
        <v/>
      </c>
      <c r="F27" s="2">
        <f>(C27 / $J$5)^3</f>
        <v/>
      </c>
      <c r="G27" s="2">
        <f>(C27 / $J$5)^4</f>
        <v/>
      </c>
    </row>
    <row r="28">
      <c r="A28" s="7" t="inlineStr">
        <is>
          <t>2025-09-12</t>
        </is>
      </c>
      <c r="B28" s="2" t="n">
        <v>0.1119703203439712</v>
      </c>
      <c r="C28" s="2">
        <f>B28 - $J$3</f>
        <v/>
      </c>
      <c r="D28" s="2">
        <f>C28^2</f>
        <v/>
      </c>
      <c r="E28" s="2">
        <f>C28^3</f>
        <v/>
      </c>
      <c r="F28" s="2">
        <f>(C28 / $J$5)^3</f>
        <v/>
      </c>
      <c r="G28" s="2">
        <f>(C28 / $J$5)^4</f>
        <v/>
      </c>
    </row>
    <row r="29">
      <c r="A29" s="7" t="inlineStr">
        <is>
          <t>2025-09-13</t>
        </is>
      </c>
      <c r="B29" s="2" t="n">
        <v>0.1103375479578971</v>
      </c>
      <c r="C29" s="2">
        <f>B29 - $J$3</f>
        <v/>
      </c>
      <c r="D29" s="2">
        <f>C29^2</f>
        <v/>
      </c>
      <c r="E29" s="2">
        <f>C29^3</f>
        <v/>
      </c>
      <c r="F29" s="2">
        <f>(C29 / $J$5)^3</f>
        <v/>
      </c>
      <c r="G29" s="2">
        <f>(C29 / $J$5)^4</f>
        <v/>
      </c>
    </row>
    <row r="30">
      <c r="A30" s="7" t="inlineStr">
        <is>
          <t>2025-09-14</t>
        </is>
      </c>
      <c r="B30" s="2" t="n">
        <v>0.1120672225952148</v>
      </c>
      <c r="C30" s="2">
        <f>B30 - $J$3</f>
        <v/>
      </c>
      <c r="D30" s="2">
        <f>C30^2</f>
        <v/>
      </c>
      <c r="E30" s="2">
        <f>C30^3</f>
        <v/>
      </c>
      <c r="F30" s="2">
        <f>(C30 / $J$5)^3</f>
        <v/>
      </c>
      <c r="G30" s="2">
        <f>(C30 / $J$5)^4</f>
        <v/>
      </c>
    </row>
    <row r="31">
      <c r="A31" s="7" t="inlineStr">
        <is>
          <t>2025-09-15</t>
        </is>
      </c>
      <c r="B31" s="2" t="n">
        <v>0.1125544160604476</v>
      </c>
      <c r="C31" s="2">
        <f>B31 - $J$3</f>
        <v/>
      </c>
      <c r="D31" s="2">
        <f>C31^2</f>
        <v/>
      </c>
      <c r="E31" s="2">
        <f>C31^3</f>
        <v/>
      </c>
      <c r="F31" s="2">
        <f>(C31 / $J$5)^3</f>
        <v/>
      </c>
      <c r="G31" s="2">
        <f>(C31 / $J$5)^4</f>
        <v/>
      </c>
    </row>
    <row r="32">
      <c r="A32" s="7" t="inlineStr">
        <is>
          <t>2025-09-16</t>
        </is>
      </c>
      <c r="B32" s="2" t="n">
        <v>0.1121330484747886</v>
      </c>
      <c r="C32" s="2">
        <f>B32 - $J$3</f>
        <v/>
      </c>
      <c r="D32" s="2">
        <f>C32^2</f>
        <v/>
      </c>
      <c r="E32" s="2">
        <f>C32^3</f>
        <v/>
      </c>
      <c r="F32" s="2">
        <f>(C32 / $J$5)^3</f>
        <v/>
      </c>
      <c r="G32" s="2">
        <f>(C32 / $J$5)^4</f>
        <v/>
      </c>
    </row>
    <row r="33">
      <c r="A33" s="7" t="inlineStr">
        <is>
          <t>2025-09-17</t>
        </is>
      </c>
      <c r="B33" s="2" t="n">
        <v>0.1125935092568397</v>
      </c>
      <c r="C33" s="2">
        <f>B33 - $J$3</f>
        <v/>
      </c>
      <c r="D33" s="2">
        <f>C33^2</f>
        <v/>
      </c>
      <c r="E33" s="2">
        <f>C33^3</f>
        <v/>
      </c>
      <c r="F33" s="2">
        <f>(C33 / $J$5)^3</f>
        <v/>
      </c>
      <c r="G33" s="2">
        <f>(C33 / $J$5)^4</f>
        <v/>
      </c>
    </row>
    <row r="34">
      <c r="A34" s="7" t="inlineStr">
        <is>
          <t>2025-09-18</t>
        </is>
      </c>
      <c r="B34" s="2" t="n">
        <v>0.1108865514397621</v>
      </c>
      <c r="C34" s="2">
        <f>B34 - $J$3</f>
        <v/>
      </c>
      <c r="D34" s="2">
        <f>C34^2</f>
        <v/>
      </c>
      <c r="E34" s="2">
        <f>C34^3</f>
        <v/>
      </c>
      <c r="F34" s="2">
        <f>(C34 / $J$5)^3</f>
        <v/>
      </c>
      <c r="G34" s="2">
        <f>(C34 / $J$5)^4</f>
        <v/>
      </c>
    </row>
    <row r="35">
      <c r="A35" s="7" t="inlineStr">
        <is>
          <t>2025-09-19</t>
        </is>
      </c>
      <c r="B35" s="2" t="n">
        <v>0.1100449934601783</v>
      </c>
      <c r="C35" s="2">
        <f>B35 - $J$3</f>
        <v/>
      </c>
      <c r="D35" s="2">
        <f>C35^2</f>
        <v/>
      </c>
      <c r="E35" s="2">
        <f>C35^3</f>
        <v/>
      </c>
      <c r="F35" s="2">
        <f>(C35 / $J$5)^3</f>
        <v/>
      </c>
      <c r="G35" s="2">
        <f>(C35 / $J$5)^4</f>
        <v/>
      </c>
    </row>
    <row r="36">
      <c r="A36" s="7" t="inlineStr">
        <is>
          <t>2025-09-20</t>
        </is>
      </c>
      <c r="B36" s="2" t="n">
        <v>0.1144644096493721</v>
      </c>
      <c r="C36" s="2">
        <f>B36 - $J$3</f>
        <v/>
      </c>
      <c r="D36" s="2">
        <f>C36^2</f>
        <v/>
      </c>
      <c r="E36" s="2">
        <f>C36^3</f>
        <v/>
      </c>
      <c r="F36" s="2">
        <f>(C36 / $J$5)^3</f>
        <v/>
      </c>
      <c r="G36" s="2">
        <f>(C36 / $J$5)^4</f>
        <v/>
      </c>
    </row>
    <row r="37">
      <c r="A37" s="7" t="inlineStr">
        <is>
          <t>2025-09-21</t>
        </is>
      </c>
      <c r="B37" s="2" t="n">
        <v>0.1151218563318252</v>
      </c>
      <c r="C37" s="2">
        <f>B37 - $J$3</f>
        <v/>
      </c>
      <c r="D37" s="2">
        <f>C37^2</f>
        <v/>
      </c>
      <c r="E37" s="2">
        <f>C37^3</f>
        <v/>
      </c>
      <c r="F37" s="2">
        <f>(C37 / $J$5)^3</f>
        <v/>
      </c>
      <c r="G37" s="2">
        <f>(C37 / $J$5)^4</f>
        <v/>
      </c>
    </row>
    <row r="38">
      <c r="A38" s="7" t="inlineStr">
        <is>
          <t>2025-09-22</t>
        </is>
      </c>
      <c r="B38" s="2" t="n">
        <v>0.1152732148766517</v>
      </c>
      <c r="C38" s="2">
        <f>B38 - $J$3</f>
        <v/>
      </c>
      <c r="D38" s="2">
        <f>C38^2</f>
        <v/>
      </c>
      <c r="E38" s="2">
        <f>C38^3</f>
        <v/>
      </c>
      <c r="F38" s="2">
        <f>(C38 / $J$5)^3</f>
        <v/>
      </c>
      <c r="G38" s="2">
        <f>(C38 / $J$5)^4</f>
        <v/>
      </c>
    </row>
    <row r="39">
      <c r="A39" s="7" t="inlineStr">
        <is>
          <t>2025-09-23</t>
        </is>
      </c>
      <c r="B39" s="2" t="n">
        <v>0.1144729703664779</v>
      </c>
      <c r="C39" s="2">
        <f>B39 - $J$3</f>
        <v/>
      </c>
      <c r="D39" s="2">
        <f>C39^2</f>
        <v/>
      </c>
      <c r="E39" s="2">
        <f>C39^3</f>
        <v/>
      </c>
      <c r="F39" s="2">
        <f>(C39 / $J$5)^3</f>
        <v/>
      </c>
      <c r="G39" s="2">
        <f>(C39 / $J$5)^4</f>
        <v/>
      </c>
    </row>
    <row r="40">
      <c r="A40" s="7" t="inlineStr">
        <is>
          <t>2025-09-24</t>
        </is>
      </c>
      <c r="B40" s="2" t="n">
        <v>0.1155810952186584</v>
      </c>
      <c r="C40" s="2">
        <f>B40 - $J$3</f>
        <v/>
      </c>
      <c r="D40" s="2">
        <f>C40^2</f>
        <v/>
      </c>
      <c r="E40" s="2">
        <f>C40^3</f>
        <v/>
      </c>
      <c r="F40" s="2">
        <f>(C40 / $J$5)^3</f>
        <v/>
      </c>
      <c r="G40" s="2">
        <f>(C40 / $J$5)^4</f>
        <v/>
      </c>
    </row>
    <row r="41">
      <c r="A41" s="7" t="inlineStr">
        <is>
          <t>2025-09-26</t>
        </is>
      </c>
      <c r="B41" s="2" t="n">
        <v>0.1143895462155342</v>
      </c>
      <c r="C41" s="2">
        <f>B41 - $J$3</f>
        <v/>
      </c>
      <c r="D41" s="2">
        <f>C41^2</f>
        <v/>
      </c>
      <c r="E41" s="2">
        <f>C41^3</f>
        <v/>
      </c>
      <c r="F41" s="2">
        <f>(C41 / $J$5)^3</f>
        <v/>
      </c>
      <c r="G41" s="2">
        <f>(C41 / $J$5)^4</f>
        <v/>
      </c>
    </row>
    <row r="42">
      <c r="A42" s="7" t="inlineStr">
        <is>
          <t>2025-09-27</t>
        </is>
      </c>
      <c r="B42" s="2" t="n">
        <v>0.1155231967568397</v>
      </c>
      <c r="C42" s="2">
        <f>B42 - $J$3</f>
        <v/>
      </c>
      <c r="D42" s="2">
        <f>C42^2</f>
        <v/>
      </c>
      <c r="E42" s="2">
        <f>C42^3</f>
        <v/>
      </c>
      <c r="F42" s="2">
        <f>(C42 / $J$5)^3</f>
        <v/>
      </c>
      <c r="G42" s="2">
        <f>(C42 / $J$5)^4</f>
        <v/>
      </c>
    </row>
    <row r="43">
      <c r="A43" s="7" t="inlineStr">
        <is>
          <t>2025-09-28</t>
        </is>
      </c>
      <c r="B43" s="2" t="n">
        <v>0.1138592660427093</v>
      </c>
      <c r="C43" s="2">
        <f>B43 - $J$3</f>
        <v/>
      </c>
      <c r="D43" s="2">
        <f>C43^2</f>
        <v/>
      </c>
      <c r="E43" s="2">
        <f>C43^3</f>
        <v/>
      </c>
      <c r="F43" s="2">
        <f>(C43 / $J$5)^3</f>
        <v/>
      </c>
      <c r="G43" s="2">
        <f>(C43 / $J$5)^4</f>
        <v/>
      </c>
    </row>
    <row r="44">
      <c r="A44" s="7" t="inlineStr">
        <is>
          <t>2025-09-29</t>
        </is>
      </c>
      <c r="B44" s="2" t="n">
        <v>0.1162176728248596</v>
      </c>
      <c r="C44" s="2">
        <f>B44 - $J$3</f>
        <v/>
      </c>
      <c r="D44" s="2">
        <f>C44^2</f>
        <v/>
      </c>
      <c r="E44" s="2">
        <f>C44^3</f>
        <v/>
      </c>
      <c r="F44" s="2">
        <f>(C44 / $J$5)^3</f>
        <v/>
      </c>
      <c r="G44" s="2">
        <f>(C44 / $J$5)^4</f>
        <v/>
      </c>
    </row>
    <row r="45">
      <c r="A45" s="7" t="inlineStr">
        <is>
          <t>2025-09-30</t>
        </is>
      </c>
      <c r="B45" s="2" t="n">
        <v>0.115563116967678</v>
      </c>
      <c r="C45" s="2">
        <f>B45 - $J$3</f>
        <v/>
      </c>
      <c r="D45" s="2">
        <f>C45^2</f>
        <v/>
      </c>
      <c r="E45" s="2">
        <f>C45^3</f>
        <v/>
      </c>
      <c r="F45" s="2">
        <f>(C45 / $J$5)^3</f>
        <v/>
      </c>
      <c r="G45" s="2">
        <f>(C45 / $J$5)^4</f>
        <v/>
      </c>
    </row>
    <row r="46">
      <c r="A46" s="7" t="inlineStr">
        <is>
          <t>2025-10-01</t>
        </is>
      </c>
      <c r="B46" s="2" t="n">
        <v>0.1126770451664924</v>
      </c>
      <c r="C46" s="2">
        <f>B46 - $J$3</f>
        <v/>
      </c>
      <c r="D46" s="2">
        <f>C46^2</f>
        <v/>
      </c>
      <c r="E46" s="2">
        <f>C46^3</f>
        <v/>
      </c>
      <c r="F46" s="2">
        <f>(C46 / $J$5)^3</f>
        <v/>
      </c>
      <c r="G46" s="2">
        <f>(C46 / $J$5)^4</f>
        <v/>
      </c>
    </row>
    <row r="47">
      <c r="A47" s="7" t="inlineStr">
        <is>
          <t>2025-10-02</t>
        </is>
      </c>
      <c r="B47" s="2" t="n">
        <v>0.1169599890708923</v>
      </c>
      <c r="C47" s="2">
        <f>B47 - $J$3</f>
        <v/>
      </c>
      <c r="D47" s="2">
        <f>C47^2</f>
        <v/>
      </c>
      <c r="E47" s="2">
        <f>C47^3</f>
        <v/>
      </c>
      <c r="F47" s="2">
        <f>(C47 / $J$5)^3</f>
        <v/>
      </c>
      <c r="G47" s="2">
        <f>(C47 / $J$5)^4</f>
        <v/>
      </c>
    </row>
    <row r="48">
      <c r="A48" s="7" t="inlineStr">
        <is>
          <t>2025-10-03</t>
        </is>
      </c>
      <c r="B48" s="2" t="n">
        <v>0.1104049012064933</v>
      </c>
      <c r="C48" s="2">
        <f>B48 - $J$3</f>
        <v/>
      </c>
      <c r="D48" s="2">
        <f>C48^2</f>
        <v/>
      </c>
      <c r="E48" s="2">
        <f>C48^3</f>
        <v/>
      </c>
      <c r="F48" s="2">
        <f>(C48 / $J$5)^3</f>
        <v/>
      </c>
      <c r="G48" s="2">
        <f>(C48 / $J$5)^4</f>
        <v/>
      </c>
    </row>
    <row r="49">
      <c r="A49" s="7" t="inlineStr">
        <is>
          <t>2025-10-04</t>
        </is>
      </c>
      <c r="B49" s="2" t="n">
        <v>0.1116277799010276</v>
      </c>
      <c r="C49" s="2">
        <f>B49 - $J$3</f>
        <v/>
      </c>
      <c r="D49" s="2">
        <f>C49^2</f>
        <v/>
      </c>
      <c r="E49" s="2">
        <f>C49^3</f>
        <v/>
      </c>
      <c r="F49" s="2">
        <f>(C49 / $J$5)^3</f>
        <v/>
      </c>
      <c r="G49" s="2">
        <f>(C49 / $J$5)^4</f>
        <v/>
      </c>
    </row>
    <row r="50">
      <c r="A50" s="7" t="inlineStr">
        <is>
          <t>2025-10-05</t>
        </is>
      </c>
      <c r="B50" s="2" t="n">
        <v>0.112487144768238</v>
      </c>
      <c r="C50" s="2">
        <f>B50 - $J$3</f>
        <v/>
      </c>
      <c r="D50" s="2">
        <f>C50^2</f>
        <v/>
      </c>
      <c r="E50" s="2">
        <f>C50^3</f>
        <v/>
      </c>
      <c r="F50" s="2">
        <f>(C50 / $J$5)^3</f>
        <v/>
      </c>
      <c r="G50" s="2">
        <f>(C50 / $J$5)^4</f>
        <v/>
      </c>
    </row>
    <row r="51">
      <c r="A51" s="7" t="inlineStr">
        <is>
          <t>2025-10-06</t>
        </is>
      </c>
      <c r="B51" s="2" t="n">
        <v>0.1135262846946716</v>
      </c>
      <c r="C51" s="2">
        <f>B51 - $J$3</f>
        <v/>
      </c>
      <c r="D51" s="2">
        <f>C51^2</f>
        <v/>
      </c>
      <c r="E51" s="2">
        <f>C51^3</f>
        <v/>
      </c>
      <c r="F51" s="2">
        <f>(C51 / $J$5)^3</f>
        <v/>
      </c>
      <c r="G51" s="2">
        <f>(C51 / $J$5)^4</f>
        <v/>
      </c>
    </row>
    <row r="52">
      <c r="A52" s="7" t="inlineStr">
        <is>
          <t>2025-10-07</t>
        </is>
      </c>
      <c r="B52" s="2" t="n">
        <v>0.1197142750024795</v>
      </c>
      <c r="C52" s="2">
        <f>B52 - $J$3</f>
        <v/>
      </c>
      <c r="D52" s="2">
        <f>C52^2</f>
        <v/>
      </c>
      <c r="E52" s="2">
        <f>C52^3</f>
        <v/>
      </c>
      <c r="F52" s="2">
        <f>(C52 / $J$5)^3</f>
        <v/>
      </c>
      <c r="G52" s="2">
        <f>(C52 / $J$5)^4</f>
        <v/>
      </c>
    </row>
    <row r="53">
      <c r="A53" s="7" t="inlineStr">
        <is>
          <t>2025-10-08</t>
        </is>
      </c>
      <c r="B53" s="2" t="n">
        <v>0.1173365488648414</v>
      </c>
      <c r="C53" s="2">
        <f>B53 - $J$3</f>
        <v/>
      </c>
      <c r="D53" s="2">
        <f>C53^2</f>
        <v/>
      </c>
      <c r="E53" s="2">
        <f>C53^3</f>
        <v/>
      </c>
      <c r="F53" s="2">
        <f>(C53 / $J$5)^3</f>
        <v/>
      </c>
      <c r="G53" s="2">
        <f>(C53 / $J$5)^4</f>
        <v/>
      </c>
    </row>
    <row r="54">
      <c r="A54" s="7" t="inlineStr">
        <is>
          <t>2025-10-09</t>
        </is>
      </c>
      <c r="B54" s="2" t="n">
        <v>0.1183196455240249</v>
      </c>
      <c r="C54" s="2">
        <f>B54 - $J$3</f>
        <v/>
      </c>
      <c r="D54" s="2">
        <f>C54^2</f>
        <v/>
      </c>
      <c r="E54" s="2">
        <f>C54^3</f>
        <v/>
      </c>
      <c r="F54" s="2">
        <f>(C54 / $J$5)^3</f>
        <v/>
      </c>
      <c r="G54" s="2">
        <f>(C54 / $J$5)^4</f>
        <v/>
      </c>
    </row>
    <row r="55">
      <c r="A55" s="7" t="inlineStr">
        <is>
          <t>2025-10-10</t>
        </is>
      </c>
      <c r="B55" s="2" t="n">
        <v>0.1198559999465942</v>
      </c>
      <c r="C55" s="2">
        <f>B55 - $J$3</f>
        <v/>
      </c>
      <c r="D55" s="2">
        <f>C55^2</f>
        <v/>
      </c>
      <c r="E55" s="2">
        <f>C55^3</f>
        <v/>
      </c>
      <c r="F55" s="2">
        <f>(C55 / $J$5)^3</f>
        <v/>
      </c>
      <c r="G55" s="2">
        <f>(C55 / $J$5)^4</f>
        <v/>
      </c>
    </row>
    <row r="56">
      <c r="A56" s="7" t="inlineStr">
        <is>
          <t>2025-10-11</t>
        </is>
      </c>
      <c r="B56" s="2" t="n">
        <v>0.111733853816986</v>
      </c>
      <c r="C56" s="2">
        <f>B56 - $J$3</f>
        <v/>
      </c>
      <c r="D56" s="2">
        <f>C56^2</f>
        <v/>
      </c>
      <c r="E56" s="2">
        <f>C56^3</f>
        <v/>
      </c>
      <c r="F56" s="2">
        <f>(C56 / $J$5)^3</f>
        <v/>
      </c>
      <c r="G56" s="2">
        <f>(C56 / $J$5)^4</f>
        <v/>
      </c>
    </row>
    <row r="57">
      <c r="A57" s="7" t="inlineStr">
        <is>
          <t>2025-10-12</t>
        </is>
      </c>
      <c r="B57" s="2" t="n">
        <v>0.1099134534597396</v>
      </c>
      <c r="C57" s="2">
        <f>B57 - $J$3</f>
        <v/>
      </c>
      <c r="D57" s="2">
        <f>C57^2</f>
        <v/>
      </c>
      <c r="E57" s="2">
        <f>C57^3</f>
        <v/>
      </c>
      <c r="F57" s="2">
        <f>(C57 / $J$5)^3</f>
        <v/>
      </c>
      <c r="G57" s="2">
        <f>(C57 / $J$5)^4</f>
        <v/>
      </c>
    </row>
    <row r="58">
      <c r="A58" s="7" t="inlineStr">
        <is>
          <t>2025-10-13</t>
        </is>
      </c>
      <c r="B58" s="2" t="n">
        <v>0.1193711087107658</v>
      </c>
      <c r="C58" s="2">
        <f>B58 - $J$3</f>
        <v/>
      </c>
      <c r="D58" s="2">
        <f>C58^2</f>
        <v/>
      </c>
      <c r="E58" s="2">
        <f>C58^3</f>
        <v/>
      </c>
      <c r="F58" s="2">
        <f>(C58 / $J$5)^3</f>
        <v/>
      </c>
      <c r="G58" s="2">
        <f>(C58 / $J$5)^4</f>
        <v/>
      </c>
    </row>
    <row r="59">
      <c r="A59" s="7" t="inlineStr">
        <is>
          <t>2025-10-14</t>
        </is>
      </c>
      <c r="B59" s="2" t="n">
        <v>0.114539548754692</v>
      </c>
      <c r="C59" s="2">
        <f>B59 - $J$3</f>
        <v/>
      </c>
      <c r="D59" s="2">
        <f>C59^2</f>
        <v/>
      </c>
      <c r="E59" s="2">
        <f>C59^3</f>
        <v/>
      </c>
      <c r="F59" s="2">
        <f>(C59 / $J$5)^3</f>
        <v/>
      </c>
      <c r="G59" s="2">
        <f>(C59 / $J$5)^4</f>
        <v/>
      </c>
    </row>
    <row r="60">
      <c r="A60" s="7" t="inlineStr">
        <is>
          <t>2025-10-15</t>
        </is>
      </c>
      <c r="B60" s="2" t="n">
        <v>0.1175041198730468</v>
      </c>
      <c r="C60" s="2">
        <f>B60 - $J$3</f>
        <v/>
      </c>
      <c r="D60" s="2">
        <f>C60^2</f>
        <v/>
      </c>
      <c r="E60" s="2">
        <f>C60^3</f>
        <v/>
      </c>
      <c r="F60" s="2">
        <f>(C60 / $J$5)^3</f>
        <v/>
      </c>
      <c r="G60" s="2">
        <f>(C60 / $J$5)^4</f>
        <v/>
      </c>
    </row>
    <row r="61">
      <c r="A61" s="7" t="inlineStr">
        <is>
          <t>2025-10-16</t>
        </is>
      </c>
      <c r="B61" s="2" t="n">
        <v>0.1179165095090866</v>
      </c>
      <c r="C61" s="2">
        <f>B61 - $J$3</f>
        <v/>
      </c>
      <c r="D61" s="2">
        <f>C61^2</f>
        <v/>
      </c>
      <c r="E61" s="2">
        <f>C61^3</f>
        <v/>
      </c>
      <c r="F61" s="2">
        <f>(C61 / $J$5)^3</f>
        <v/>
      </c>
      <c r="G61" s="2">
        <f>(C61 / $J$5)^4</f>
        <v/>
      </c>
    </row>
    <row r="62">
      <c r="A62" s="7" t="inlineStr">
        <is>
          <t>2025-10-17</t>
        </is>
      </c>
      <c r="B62" s="2" t="n">
        <v>0.1170578226447105</v>
      </c>
      <c r="C62" s="2">
        <f>B62 - $J$3</f>
        <v/>
      </c>
      <c r="D62" s="2">
        <f>C62^2</f>
        <v/>
      </c>
      <c r="E62" s="2">
        <f>C62^3</f>
        <v/>
      </c>
      <c r="F62" s="2">
        <f>(C62 / $J$5)^3</f>
        <v/>
      </c>
      <c r="G62" s="2">
        <f>(C62 / $J$5)^4</f>
        <v/>
      </c>
    </row>
    <row r="63">
      <c r="A63" s="7" t="inlineStr">
        <is>
          <t>2025-10-19</t>
        </is>
      </c>
      <c r="B63" s="2" t="n">
        <v>0.1171536743640899</v>
      </c>
      <c r="C63" s="2">
        <f>B63 - $J$3</f>
        <v/>
      </c>
      <c r="D63" s="2">
        <f>C63^2</f>
        <v/>
      </c>
      <c r="E63" s="2">
        <f>C63^3</f>
        <v/>
      </c>
      <c r="F63" s="2">
        <f>(C63 / $J$5)^3</f>
        <v/>
      </c>
      <c r="G63" s="2">
        <f>(C63 / $J$5)^4</f>
        <v/>
      </c>
    </row>
    <row r="64">
      <c r="A64" s="7" t="inlineStr">
        <is>
          <t>2025-10-20</t>
        </is>
      </c>
      <c r="B64" s="2" t="n">
        <v>0.1184653788805008</v>
      </c>
      <c r="C64" s="2">
        <f>B64 - $J$3</f>
        <v/>
      </c>
      <c r="D64" s="2">
        <f>C64^2</f>
        <v/>
      </c>
      <c r="E64" s="2">
        <f>C64^3</f>
        <v/>
      </c>
      <c r="F64" s="2">
        <f>(C64 / $J$5)^3</f>
        <v/>
      </c>
      <c r="G64" s="2">
        <f>(C64 / $J$5)^4</f>
        <v/>
      </c>
    </row>
    <row r="65">
      <c r="A65" s="7" t="inlineStr">
        <is>
          <t>2025-10-21</t>
        </is>
      </c>
      <c r="B65" s="2" t="n">
        <v>0.114048384130001</v>
      </c>
      <c r="C65" s="2">
        <f>B65 - $J$3</f>
        <v/>
      </c>
      <c r="D65" s="2">
        <f>C65^2</f>
        <v/>
      </c>
      <c r="E65" s="2">
        <f>C65^3</f>
        <v/>
      </c>
      <c r="F65" s="2">
        <f>(C65 / $J$5)^3</f>
        <v/>
      </c>
      <c r="G65" s="2">
        <f>(C65 / $J$5)^4</f>
        <v/>
      </c>
    </row>
    <row r="66">
      <c r="A66" s="7" t="inlineStr">
        <is>
          <t>2025-10-22</t>
        </is>
      </c>
      <c r="B66" s="2" t="n">
        <v>0.1158805787563324</v>
      </c>
      <c r="C66" s="2">
        <f>B66 - $J$3</f>
        <v/>
      </c>
      <c r="D66" s="2">
        <f>C66^2</f>
        <v/>
      </c>
      <c r="E66" s="2">
        <f>C66^3</f>
        <v/>
      </c>
      <c r="F66" s="2">
        <f>(C66 / $J$5)^3</f>
        <v/>
      </c>
      <c r="G66" s="2">
        <f>(C66 / $J$5)^4</f>
        <v/>
      </c>
    </row>
    <row r="67">
      <c r="A67" s="7" t="inlineStr">
        <is>
          <t>2025-10-23</t>
        </is>
      </c>
      <c r="B67" s="2" t="n">
        <v>0.1163177713751792</v>
      </c>
      <c r="C67" s="2">
        <f>B67 - $J$3</f>
        <v/>
      </c>
      <c r="D67" s="2">
        <f>C67^2</f>
        <v/>
      </c>
      <c r="E67" s="2">
        <f>C67^3</f>
        <v/>
      </c>
      <c r="F67" s="2">
        <f>(C67 / $J$5)^3</f>
        <v/>
      </c>
      <c r="G67" s="2">
        <f>(C67 / $J$5)^4</f>
        <v/>
      </c>
    </row>
    <row r="68">
      <c r="A68" s="7" t="inlineStr">
        <is>
          <t>2025-10-24</t>
        </is>
      </c>
      <c r="B68" s="2" t="n">
        <v>0.1159321293234825</v>
      </c>
      <c r="C68" s="2">
        <f>B68 - $J$3</f>
        <v/>
      </c>
      <c r="D68" s="2">
        <f>C68^2</f>
        <v/>
      </c>
      <c r="E68" s="2">
        <f>C68^3</f>
        <v/>
      </c>
      <c r="F68" s="2">
        <f>(C68 / $J$5)^3</f>
        <v/>
      </c>
      <c r="G68" s="2">
        <f>(C68 / $J$5)^4</f>
        <v/>
      </c>
    </row>
    <row r="69">
      <c r="A69" s="7" t="inlineStr">
        <is>
          <t>2025-10-25</t>
        </is>
      </c>
      <c r="B69" s="2" t="n">
        <v>0.11600973457098</v>
      </c>
      <c r="C69" s="2">
        <f>B69 - $J$3</f>
        <v/>
      </c>
      <c r="D69" s="2">
        <f>C69^2</f>
        <v/>
      </c>
      <c r="E69" s="2">
        <f>C69^3</f>
        <v/>
      </c>
      <c r="F69" s="2">
        <f>(C69 / $J$5)^3</f>
        <v/>
      </c>
      <c r="G69" s="2">
        <f>(C69 / $J$5)^4</f>
        <v/>
      </c>
    </row>
    <row r="70">
      <c r="A70" s="7" t="inlineStr">
        <is>
          <t>2025-10-26</t>
        </is>
      </c>
      <c r="B70" s="2" t="n">
        <v>0.1167736575007438</v>
      </c>
      <c r="C70" s="2">
        <f>B70 - $J$3</f>
        <v/>
      </c>
      <c r="D70" s="2">
        <f>C70^2</f>
        <v/>
      </c>
      <c r="E70" s="2">
        <f>C70^3</f>
        <v/>
      </c>
      <c r="F70" s="2">
        <f>(C70 / $J$5)^3</f>
        <v/>
      </c>
      <c r="G70" s="2">
        <f>(C70 / $J$5)^4</f>
        <v/>
      </c>
    </row>
    <row r="71">
      <c r="A71" s="7" t="inlineStr">
        <is>
          <t>2025-10-27</t>
        </is>
      </c>
      <c r="B71" s="2" t="n">
        <v>0.1181039214134216</v>
      </c>
      <c r="C71" s="2">
        <f>B71 - $J$3</f>
        <v/>
      </c>
      <c r="D71" s="2">
        <f>C71^2</f>
        <v/>
      </c>
      <c r="E71" s="2">
        <f>C71^3</f>
        <v/>
      </c>
      <c r="F71" s="2">
        <f>(C71 / $J$5)^3</f>
        <v/>
      </c>
      <c r="G71" s="2">
        <f>(C71 / $J$5)^4</f>
        <v/>
      </c>
    </row>
    <row r="72">
      <c r="A72" s="7" t="inlineStr">
        <is>
          <t>2025-10-28</t>
        </is>
      </c>
      <c r="B72" s="2" t="n">
        <v>0.1170179545879364</v>
      </c>
      <c r="C72" s="2">
        <f>B72 - $J$3</f>
        <v/>
      </c>
      <c r="D72" s="2">
        <f>C72^2</f>
        <v/>
      </c>
      <c r="E72" s="2">
        <f>C72^3</f>
        <v/>
      </c>
      <c r="F72" s="2">
        <f>(C72 / $J$5)^3</f>
        <v/>
      </c>
      <c r="G72" s="2">
        <f>(C72 / $J$5)^4</f>
        <v/>
      </c>
    </row>
    <row r="73">
      <c r="A73" s="7" t="inlineStr">
        <is>
          <t>2025-10-29</t>
        </is>
      </c>
      <c r="B73" s="2" t="n">
        <v>0.117631196975708</v>
      </c>
      <c r="C73" s="2">
        <f>B73 - $J$3</f>
        <v/>
      </c>
      <c r="D73" s="2">
        <f>C73^2</f>
        <v/>
      </c>
      <c r="E73" s="2">
        <f>C73^3</f>
        <v/>
      </c>
      <c r="F73" s="2">
        <f>(C73 / $J$5)^3</f>
        <v/>
      </c>
      <c r="G73" s="2">
        <f>(C73 / $J$5)^4</f>
        <v/>
      </c>
    </row>
    <row r="74">
      <c r="A74" s="7" t="inlineStr">
        <is>
          <t>2025-10-30</t>
        </is>
      </c>
      <c r="B74" s="2" t="n">
        <v>0.1192442178726196</v>
      </c>
      <c r="C74" s="2">
        <f>B74 - $J$3</f>
        <v/>
      </c>
      <c r="D74" s="2">
        <f>C74^2</f>
        <v/>
      </c>
      <c r="E74" s="2">
        <f>C74^3</f>
        <v/>
      </c>
      <c r="F74" s="2">
        <f>(C74 / $J$5)^3</f>
        <v/>
      </c>
      <c r="G74" s="2">
        <f>(C74 / $J$5)^4</f>
        <v/>
      </c>
    </row>
    <row r="75">
      <c r="A75" s="7" t="inlineStr">
        <is>
          <t>2025-10-31</t>
        </is>
      </c>
      <c r="B75" s="2" t="n">
        <v>0.1161217242479324</v>
      </c>
      <c r="C75" s="2">
        <f>B75 - $J$3</f>
        <v/>
      </c>
      <c r="D75" s="2">
        <f>C75^2</f>
        <v/>
      </c>
      <c r="E75" s="2">
        <f>C75^3</f>
        <v/>
      </c>
      <c r="F75" s="2">
        <f>(C75 / $J$5)^3</f>
        <v/>
      </c>
      <c r="G75" s="2">
        <f>(C75 / $J$5)^4</f>
        <v/>
      </c>
    </row>
    <row r="76">
      <c r="A76" s="7" t="inlineStr">
        <is>
          <t>2025-11-01</t>
        </is>
      </c>
      <c r="B76" s="2" t="n">
        <v>0.1149171516299247</v>
      </c>
      <c r="C76" s="2">
        <f>B76 - $J$3</f>
        <v/>
      </c>
      <c r="D76" s="2">
        <f>C76^2</f>
        <v/>
      </c>
      <c r="E76" s="2">
        <f>C76^3</f>
        <v/>
      </c>
      <c r="F76" s="2">
        <f>(C76 / $J$5)^3</f>
        <v/>
      </c>
      <c r="G76" s="2">
        <f>(C76 / $J$5)^4</f>
        <v/>
      </c>
    </row>
    <row r="77">
      <c r="A77" s="7" t="inlineStr">
        <is>
          <t>2025-11-02</t>
        </is>
      </c>
      <c r="B77" s="2" t="n">
        <v>0.1145447790622711</v>
      </c>
      <c r="C77" s="2">
        <f>B77 - $J$3</f>
        <v/>
      </c>
      <c r="D77" s="2">
        <f>C77^2</f>
        <v/>
      </c>
      <c r="E77" s="2">
        <f>C77^3</f>
        <v/>
      </c>
      <c r="F77" s="2">
        <f>(C77 / $J$5)^3</f>
        <v/>
      </c>
      <c r="G77" s="2">
        <f>(C77 / $J$5)^4</f>
        <v/>
      </c>
    </row>
    <row r="78">
      <c r="A78" s="7" t="inlineStr">
        <is>
          <t>2025-11-03</t>
        </is>
      </c>
      <c r="B78" s="2" t="n">
        <v>0.1143055856227874</v>
      </c>
      <c r="C78" s="2">
        <f>B78 - $J$3</f>
        <v/>
      </c>
      <c r="D78" s="2">
        <f>C78^2</f>
        <v/>
      </c>
      <c r="E78" s="2">
        <f>C78^3</f>
        <v/>
      </c>
      <c r="F78" s="2">
        <f>(C78 / $J$5)^3</f>
        <v/>
      </c>
      <c r="G78" s="2">
        <f>(C78 / $J$5)^4</f>
        <v/>
      </c>
    </row>
    <row r="79">
      <c r="A79" s="7" t="inlineStr">
        <is>
          <t>2025-11-04</t>
        </is>
      </c>
      <c r="B79" s="2" t="n">
        <v>0.1157176196575164</v>
      </c>
      <c r="C79" s="2">
        <f>B79 - $J$3</f>
        <v/>
      </c>
      <c r="D79" s="2">
        <f>C79^2</f>
        <v/>
      </c>
      <c r="E79" s="2">
        <f>C79^3</f>
        <v/>
      </c>
      <c r="F79" s="2">
        <f>(C79 / $J$5)^3</f>
        <v/>
      </c>
      <c r="G79" s="2">
        <f>(C79 / $J$5)^4</f>
        <v/>
      </c>
    </row>
    <row r="80">
      <c r="A80" s="7" t="inlineStr">
        <is>
          <t>2025-11-05</t>
        </is>
      </c>
      <c r="B80" s="2" t="n">
        <v>0.1134188175201416</v>
      </c>
      <c r="C80" s="2">
        <f>B80 - $J$3</f>
        <v/>
      </c>
      <c r="D80" s="2">
        <f>C80^2</f>
        <v/>
      </c>
      <c r="E80" s="2">
        <f>C80^3</f>
        <v/>
      </c>
      <c r="F80" s="2">
        <f>(C80 / $J$5)^3</f>
        <v/>
      </c>
      <c r="G80" s="2">
        <f>(C80 / $J$5)^4</f>
        <v/>
      </c>
    </row>
    <row r="81">
      <c r="A81" s="7" t="inlineStr">
        <is>
          <t>2025-11-06</t>
        </is>
      </c>
      <c r="B81" s="2" t="n">
        <v>0.1171208843588829</v>
      </c>
      <c r="C81" s="2">
        <f>B81 - $J$3</f>
        <v/>
      </c>
      <c r="D81" s="2">
        <f>C81^2</f>
        <v/>
      </c>
      <c r="E81" s="2">
        <f>C81^3</f>
        <v/>
      </c>
      <c r="F81" s="2">
        <f>(C81 / $J$5)^3</f>
        <v/>
      </c>
      <c r="G81" s="2">
        <f>(C81 / $J$5)^4</f>
        <v/>
      </c>
    </row>
    <row r="82">
      <c r="A82" s="7" t="inlineStr">
        <is>
          <t>2025-11-07</t>
        </is>
      </c>
      <c r="B82" s="2" t="n">
        <v>0.1129179373383522</v>
      </c>
      <c r="C82" s="2">
        <f>B82 - $J$3</f>
        <v/>
      </c>
      <c r="D82" s="2">
        <f>C82^2</f>
        <v/>
      </c>
      <c r="E82" s="2">
        <f>C82^3</f>
        <v/>
      </c>
      <c r="F82" s="2">
        <f>(C82 / $J$5)^3</f>
        <v/>
      </c>
      <c r="G82" s="2">
        <f>(C82 / $J$5)^4</f>
        <v/>
      </c>
    </row>
    <row r="83">
      <c r="A83" s="7" t="inlineStr">
        <is>
          <t>2025-11-08</t>
        </is>
      </c>
      <c r="B83" s="2" t="n">
        <v>0.1121401190757751</v>
      </c>
      <c r="C83" s="2">
        <f>B83 - $J$3</f>
        <v/>
      </c>
      <c r="D83" s="2">
        <f>C83^2</f>
        <v/>
      </c>
      <c r="E83" s="2">
        <f>C83^3</f>
        <v/>
      </c>
      <c r="F83" s="2">
        <f>(C83 / $J$5)^3</f>
        <v/>
      </c>
      <c r="G83" s="2">
        <f>(C83 / $J$5)^4</f>
        <v/>
      </c>
    </row>
    <row r="84">
      <c r="A84" s="7" t="inlineStr">
        <is>
          <t>2025-11-09</t>
        </is>
      </c>
      <c r="B84" s="2" t="n">
        <v>0.1173249408602714</v>
      </c>
      <c r="C84" s="2">
        <f>B84 - $J$3</f>
        <v/>
      </c>
      <c r="D84" s="2">
        <f>C84^2</f>
        <v/>
      </c>
      <c r="E84" s="2">
        <f>C84^3</f>
        <v/>
      </c>
      <c r="F84" s="2">
        <f>(C84 / $J$5)^3</f>
        <v/>
      </c>
      <c r="G84" s="2">
        <f>(C84 / $J$5)^4</f>
        <v/>
      </c>
    </row>
    <row r="85">
      <c r="A85" s="7" t="inlineStr">
        <is>
          <t>2025-11-11</t>
        </is>
      </c>
      <c r="B85" s="2" t="n">
        <v>0.1244643628597259</v>
      </c>
      <c r="C85" s="2">
        <f>B85 - $J$3</f>
        <v/>
      </c>
      <c r="D85" s="2">
        <f>C85^2</f>
        <v/>
      </c>
      <c r="E85" s="2">
        <f>C85^3</f>
        <v/>
      </c>
      <c r="F85" s="2">
        <f>(C85 / $J$5)^3</f>
        <v/>
      </c>
      <c r="G85" s="2">
        <f>(C85 / $J$5)^4</f>
        <v/>
      </c>
    </row>
    <row r="86">
      <c r="A86" s="7" t="inlineStr">
        <is>
          <t>2025-11-12</t>
        </is>
      </c>
      <c r="B86" s="2" t="n">
        <v>0.1112705767154693</v>
      </c>
      <c r="C86" s="2">
        <f>B86 - $J$3</f>
        <v/>
      </c>
      <c r="D86" s="2">
        <f>C86^2</f>
        <v/>
      </c>
      <c r="E86" s="2">
        <f>C86^3</f>
        <v/>
      </c>
      <c r="F86" s="2">
        <f>(C86 / $J$5)^3</f>
        <v/>
      </c>
      <c r="G86" s="2">
        <f>(C86 / $J$5)^4</f>
        <v/>
      </c>
    </row>
    <row r="87">
      <c r="A87" s="7" t="inlineStr">
        <is>
          <t>2025-11-13</t>
        </is>
      </c>
      <c r="B87" s="2" t="n">
        <v>0.124869704246521</v>
      </c>
      <c r="C87" s="2">
        <f>B87 - $J$3</f>
        <v/>
      </c>
      <c r="D87" s="2">
        <f>C87^2</f>
        <v/>
      </c>
      <c r="E87" s="2">
        <f>C87^3</f>
        <v/>
      </c>
      <c r="F87" s="2">
        <f>(C87 / $J$5)^3</f>
        <v/>
      </c>
      <c r="G87" s="2">
        <f>(C87 / $J$5)^4</f>
        <v/>
      </c>
    </row>
    <row r="88">
      <c r="A88" s="7" t="inlineStr">
        <is>
          <t>2025-11-14</t>
        </is>
      </c>
      <c r="B88" s="2" t="n">
        <v>0.1123706400394439</v>
      </c>
      <c r="C88" s="2">
        <f>B88 - $J$3</f>
        <v/>
      </c>
      <c r="D88" s="2">
        <f>C88^2</f>
        <v/>
      </c>
      <c r="E88" s="2">
        <f>C88^3</f>
        <v/>
      </c>
      <c r="F88" s="2">
        <f>(C88 / $J$5)^3</f>
        <v/>
      </c>
      <c r="G88" s="2">
        <f>(C88 / $J$5)^4</f>
        <v/>
      </c>
    </row>
    <row r="89">
      <c r="A89" s="7" t="inlineStr">
        <is>
          <t>2025-11-15</t>
        </is>
      </c>
      <c r="B89" s="2" t="n">
        <v>0.1185358837246894</v>
      </c>
      <c r="C89" s="2">
        <f>B89 - $J$3</f>
        <v/>
      </c>
      <c r="D89" s="2">
        <f>C89^2</f>
        <v/>
      </c>
      <c r="E89" s="2">
        <f>C89^3</f>
        <v/>
      </c>
      <c r="F89" s="2">
        <f>(C89 / $J$5)^3</f>
        <v/>
      </c>
      <c r="G89" s="2">
        <f>(C89 / $J$5)^4</f>
        <v/>
      </c>
    </row>
    <row r="90">
      <c r="A90" s="7" t="inlineStr">
        <is>
          <t>2025-11-16</t>
        </is>
      </c>
      <c r="B90" s="2" t="n">
        <v>0.1212247684597969</v>
      </c>
      <c r="C90" s="2">
        <f>B90 - $J$3</f>
        <v/>
      </c>
      <c r="D90" s="2">
        <f>C90^2</f>
        <v/>
      </c>
      <c r="E90" s="2">
        <f>C90^3</f>
        <v/>
      </c>
      <c r="F90" s="2">
        <f>(C90 / $J$5)^3</f>
        <v/>
      </c>
      <c r="G90" s="2">
        <f>(C90 / $J$5)^4</f>
        <v/>
      </c>
    </row>
    <row r="91">
      <c r="A91" s="7" t="inlineStr">
        <is>
          <t>2025-11-17</t>
        </is>
      </c>
      <c r="B91" s="2" t="n">
        <v>0.1127763539552688</v>
      </c>
      <c r="C91" s="2">
        <f>B91 - $J$3</f>
        <v/>
      </c>
      <c r="D91" s="2">
        <f>C91^2</f>
        <v/>
      </c>
      <c r="E91" s="2">
        <f>C91^3</f>
        <v/>
      </c>
      <c r="F91" s="2">
        <f>(C91 / $J$5)^3</f>
        <v/>
      </c>
      <c r="G91" s="2">
        <f>(C91 / $J$5)^4</f>
        <v/>
      </c>
    </row>
    <row r="92">
      <c r="A92" s="7" t="inlineStr">
        <is>
          <t>2025-11-18</t>
        </is>
      </c>
      <c r="B92" s="2" t="n">
        <v>0.1191051080822944</v>
      </c>
      <c r="C92" s="2">
        <f>B92 - $J$3</f>
        <v/>
      </c>
      <c r="D92" s="2">
        <f>C92^2</f>
        <v/>
      </c>
      <c r="E92" s="2">
        <f>C92^3</f>
        <v/>
      </c>
      <c r="F92" s="2">
        <f>(C92 / $J$5)^3</f>
        <v/>
      </c>
      <c r="G92" s="2">
        <f>(C92 / $J$5)^4</f>
        <v/>
      </c>
    </row>
    <row r="93">
      <c r="A93" s="7" t="inlineStr">
        <is>
          <t>2025-11-19</t>
        </is>
      </c>
      <c r="B93" s="2" t="n">
        <v>0.1129034757614135</v>
      </c>
      <c r="C93" s="2">
        <f>B93 - $J$3</f>
        <v/>
      </c>
      <c r="D93" s="2">
        <f>C93^2</f>
        <v/>
      </c>
      <c r="E93" s="2">
        <f>C93^3</f>
        <v/>
      </c>
      <c r="F93" s="2">
        <f>(C93 / $J$5)^3</f>
        <v/>
      </c>
      <c r="G93" s="2">
        <f>(C93 / $J$5)^4</f>
        <v/>
      </c>
    </row>
    <row r="94">
      <c r="A94" s="7" t="inlineStr">
        <is>
          <t>2025-11-20</t>
        </is>
      </c>
      <c r="B94" s="2" t="n">
        <v>0.1144107580184936</v>
      </c>
      <c r="C94" s="2">
        <f>B94 - $J$3</f>
        <v/>
      </c>
      <c r="D94" s="2">
        <f>C94^2</f>
        <v/>
      </c>
      <c r="E94" s="2">
        <f>C94^3</f>
        <v/>
      </c>
      <c r="F94" s="2">
        <f>(C94 / $J$5)^3</f>
        <v/>
      </c>
      <c r="G94" s="2">
        <f>(C94 / $J$5)^4</f>
        <v/>
      </c>
    </row>
    <row r="95">
      <c r="A95" s="7" t="inlineStr">
        <is>
          <t>2025-11-21</t>
        </is>
      </c>
      <c r="B95" s="2" t="n">
        <v>0.1194908395409584</v>
      </c>
      <c r="C95" s="2">
        <f>B95 - $J$3</f>
        <v/>
      </c>
      <c r="D95" s="2">
        <f>C95^2</f>
        <v/>
      </c>
      <c r="E95" s="2">
        <f>C95^3</f>
        <v/>
      </c>
      <c r="F95" s="2">
        <f>(C95 / $J$5)^3</f>
        <v/>
      </c>
      <c r="G95" s="2">
        <f>(C95 / $J$5)^4</f>
        <v/>
      </c>
    </row>
    <row r="96">
      <c r="A96" s="7" t="inlineStr">
        <is>
          <t>2025-11-22</t>
        </is>
      </c>
      <c r="B96" s="2" t="n">
        <v>0.1133163124322891</v>
      </c>
      <c r="C96" s="2">
        <f>B96 - $J$3</f>
        <v/>
      </c>
      <c r="D96" s="2">
        <f>C96^2</f>
        <v/>
      </c>
      <c r="E96" s="2">
        <f>C96^3</f>
        <v/>
      </c>
      <c r="F96" s="2">
        <f>(C96 / $J$5)^3</f>
        <v/>
      </c>
      <c r="G96" s="2">
        <f>(C96 / $J$5)^4</f>
        <v/>
      </c>
    </row>
    <row r="97">
      <c r="A97" s="7" t="inlineStr">
        <is>
          <t>2025-11-23</t>
        </is>
      </c>
      <c r="B97" s="2" t="n">
        <v>0.1191306635737419</v>
      </c>
      <c r="C97" s="2">
        <f>B97 - $J$3</f>
        <v/>
      </c>
      <c r="D97" s="2">
        <f>C97^2</f>
        <v/>
      </c>
      <c r="E97" s="2">
        <f>C97^3</f>
        <v/>
      </c>
      <c r="F97" s="2">
        <f>(C97 / $J$5)^3</f>
        <v/>
      </c>
      <c r="G97" s="2">
        <f>(C97 / $J$5)^4</f>
        <v/>
      </c>
    </row>
    <row r="98">
      <c r="A98" s="7" t="inlineStr">
        <is>
          <t>2025-11-24</t>
        </is>
      </c>
      <c r="B98" s="2" t="n">
        <v>0.1167394965887069</v>
      </c>
      <c r="C98" s="2">
        <f>B98 - $J$3</f>
        <v/>
      </c>
      <c r="D98" s="2">
        <f>C98^2</f>
        <v/>
      </c>
      <c r="E98" s="2">
        <f>C98^3</f>
        <v/>
      </c>
      <c r="F98" s="2">
        <f>(C98 / $J$5)^3</f>
        <v/>
      </c>
      <c r="G98" s="2">
        <f>(C98 / $J$5)^4</f>
        <v/>
      </c>
    </row>
    <row r="99">
      <c r="A99" s="7" t="inlineStr">
        <is>
          <t>2025-11-25</t>
        </is>
      </c>
      <c r="B99" s="2" t="n">
        <v>0.113880269229412</v>
      </c>
      <c r="C99" s="2">
        <f>B99 - $J$3</f>
        <v/>
      </c>
      <c r="D99" s="2">
        <f>C99^2</f>
        <v/>
      </c>
      <c r="E99" s="2">
        <f>C99^3</f>
        <v/>
      </c>
      <c r="F99" s="2">
        <f>(C99 / $J$5)^3</f>
        <v/>
      </c>
      <c r="G99" s="2">
        <f>(C99 / $J$5)^4</f>
        <v/>
      </c>
    </row>
    <row r="100">
      <c r="A100" s="7" t="inlineStr">
        <is>
          <t>2025-11-26</t>
        </is>
      </c>
      <c r="B100" s="2" t="n">
        <v>0.1176265552639961</v>
      </c>
      <c r="C100" s="2">
        <f>B100 - $J$3</f>
        <v/>
      </c>
      <c r="D100" s="2">
        <f>C100^2</f>
        <v/>
      </c>
      <c r="E100" s="2">
        <f>C100^3</f>
        <v/>
      </c>
      <c r="F100" s="2">
        <f>(C100 / $J$5)^3</f>
        <v/>
      </c>
      <c r="G100" s="2">
        <f>(C100 / $J$5)^4</f>
        <v/>
      </c>
    </row>
    <row r="101">
      <c r="A101" s="7" t="inlineStr">
        <is>
          <t>2025-11-28</t>
        </is>
      </c>
      <c r="B101" s="2" t="n">
        <v>0.1180407255887985</v>
      </c>
      <c r="C101" s="2">
        <f>B101 - $J$3</f>
        <v/>
      </c>
      <c r="D101" s="2">
        <f>C101^2</f>
        <v/>
      </c>
      <c r="E101" s="2">
        <f>C101^3</f>
        <v/>
      </c>
      <c r="F101" s="2">
        <f>(C101 / $J$5)^3</f>
        <v/>
      </c>
      <c r="G101" s="2">
        <f>(C101 / $J$5)^4</f>
        <v/>
      </c>
    </row>
    <row r="102">
      <c r="A102" s="7" t="inlineStr">
        <is>
          <t>2025-11-29</t>
        </is>
      </c>
      <c r="B102" s="2" t="n">
        <v>0.1163637638092041</v>
      </c>
      <c r="C102" s="2">
        <f>B102 - $J$3</f>
        <v/>
      </c>
      <c r="D102" s="2">
        <f>C102^2</f>
        <v/>
      </c>
      <c r="E102" s="2">
        <f>C102^3</f>
        <v/>
      </c>
      <c r="F102" s="2">
        <f>(C102 / $J$5)^3</f>
        <v/>
      </c>
      <c r="G102" s="2">
        <f>(C102 / $J$5)^4</f>
        <v/>
      </c>
    </row>
    <row r="103">
      <c r="A103" s="7" t="inlineStr">
        <is>
          <t>2025-11-30</t>
        </is>
      </c>
      <c r="B103" s="2" t="n">
        <v>0.1130656152963638</v>
      </c>
      <c r="C103" s="2">
        <f>B103 - $J$3</f>
        <v/>
      </c>
      <c r="D103" s="2">
        <f>C103^2</f>
        <v/>
      </c>
      <c r="E103" s="2">
        <f>C103^3</f>
        <v/>
      </c>
      <c r="F103" s="2">
        <f>(C103 / $J$5)^3</f>
        <v/>
      </c>
      <c r="G103" s="2">
        <f>(C103 / $J$5)^4</f>
        <v/>
      </c>
    </row>
    <row r="104">
      <c r="A104" s="7" t="inlineStr">
        <is>
          <t>2025-12-01</t>
        </is>
      </c>
      <c r="B104" s="2" t="n">
        <v>0.1164010688662529</v>
      </c>
      <c r="C104" s="2">
        <f>B104 - $J$3</f>
        <v/>
      </c>
      <c r="D104" s="2">
        <f>C104^2</f>
        <v/>
      </c>
      <c r="E104" s="2">
        <f>C104^3</f>
        <v/>
      </c>
      <c r="F104" s="2">
        <f>(C104 / $J$5)^3</f>
        <v/>
      </c>
      <c r="G104" s="2">
        <f>(C104 / $J$5)^4</f>
        <v/>
      </c>
    </row>
    <row r="105">
      <c r="A105" s="7" t="inlineStr">
        <is>
          <t>2025-12-02</t>
        </is>
      </c>
      <c r="B105" s="2" t="n">
        <v>0.1147001609206199</v>
      </c>
      <c r="C105" s="2">
        <f>B105 - $J$3</f>
        <v/>
      </c>
      <c r="D105" s="2">
        <f>C105^2</f>
        <v/>
      </c>
      <c r="E105" s="2">
        <f>C105^3</f>
        <v/>
      </c>
      <c r="F105" s="2">
        <f>(C105 / $J$5)^3</f>
        <v/>
      </c>
      <c r="G105" s="2">
        <f>(C105 / $J$5)^4</f>
        <v/>
      </c>
    </row>
    <row r="106">
      <c r="A106" s="7" t="inlineStr">
        <is>
          <t>2025-12-03</t>
        </is>
      </c>
      <c r="B106" s="2" t="n">
        <v>0.1163366362452507</v>
      </c>
      <c r="C106" s="2">
        <f>B106 - $J$3</f>
        <v/>
      </c>
      <c r="D106" s="2">
        <f>C106^2</f>
        <v/>
      </c>
      <c r="E106" s="2">
        <f>C106^3</f>
        <v/>
      </c>
      <c r="F106" s="2">
        <f>(C106 / $J$5)^3</f>
        <v/>
      </c>
      <c r="G106" s="2">
        <f>(C106 / $J$5)^4</f>
        <v/>
      </c>
    </row>
    <row r="107">
      <c r="A107" s="7" t="inlineStr">
        <is>
          <t>2025-12-04</t>
        </is>
      </c>
      <c r="B107" s="2" t="n">
        <v>0.1141480803489685</v>
      </c>
      <c r="C107" s="2">
        <f>B107 - $J$3</f>
        <v/>
      </c>
      <c r="D107" s="2">
        <f>C107^2</f>
        <v/>
      </c>
      <c r="E107" s="2">
        <f>C107^3</f>
        <v/>
      </c>
      <c r="F107" s="2">
        <f>(C107 / $J$5)^3</f>
        <v/>
      </c>
      <c r="G107" s="2">
        <f>(C107 / $J$5)^4</f>
        <v/>
      </c>
    </row>
    <row r="108">
      <c r="A108" s="7" t="inlineStr">
        <is>
          <t>2025-12-05</t>
        </is>
      </c>
      <c r="B108" s="2" t="n">
        <v>0.1140369176864624</v>
      </c>
      <c r="C108" s="2">
        <f>B108 - $J$3</f>
        <v/>
      </c>
      <c r="D108" s="2">
        <f>C108^2</f>
        <v/>
      </c>
      <c r="E108" s="2">
        <f>C108^3</f>
        <v/>
      </c>
      <c r="F108" s="2">
        <f>(C108 / $J$5)^3</f>
        <v/>
      </c>
      <c r="G108" s="2">
        <f>(C108 / $J$5)^4</f>
        <v/>
      </c>
    </row>
    <row r="109">
      <c r="A109" s="7" t="inlineStr">
        <is>
          <t>2025-12-06</t>
        </is>
      </c>
      <c r="B109" s="2" t="n">
        <v>0.1121550425887107</v>
      </c>
      <c r="C109" s="2">
        <f>B109 - $J$3</f>
        <v/>
      </c>
      <c r="D109" s="2">
        <f>C109^2</f>
        <v/>
      </c>
      <c r="E109" s="2">
        <f>C109^3</f>
        <v/>
      </c>
      <c r="F109" s="2">
        <f>(C109 / $J$5)^3</f>
        <v/>
      </c>
      <c r="G109" s="2">
        <f>(C109 / $J$5)^4</f>
        <v/>
      </c>
    </row>
    <row r="110">
      <c r="A110" s="7" t="inlineStr">
        <is>
          <t>2025-12-07</t>
        </is>
      </c>
      <c r="B110" s="2" t="n">
        <v>0.1143891289830207</v>
      </c>
      <c r="C110" s="2">
        <f>B110 - $J$3</f>
        <v/>
      </c>
      <c r="D110" s="2">
        <f>C110^2</f>
        <v/>
      </c>
      <c r="E110" s="2">
        <f>C110^3</f>
        <v/>
      </c>
      <c r="F110" s="2">
        <f>(C110 / $J$5)^3</f>
        <v/>
      </c>
      <c r="G110" s="2">
        <f>(C110 / $J$5)^4</f>
        <v/>
      </c>
    </row>
    <row r="111">
      <c r="A111" s="7" t="inlineStr">
        <is>
          <t>2025-12-08</t>
        </is>
      </c>
      <c r="B111" s="2" t="n">
        <v>0.1132712140679359</v>
      </c>
      <c r="C111" s="2">
        <f>B111 - $J$3</f>
        <v/>
      </c>
      <c r="D111" s="2">
        <f>C111^2</f>
        <v/>
      </c>
      <c r="E111" s="2">
        <f>C111^3</f>
        <v/>
      </c>
      <c r="F111" s="2">
        <f>(C111 / $J$5)^3</f>
        <v/>
      </c>
      <c r="G111" s="2">
        <f>(C111 / $J$5)^4</f>
        <v/>
      </c>
    </row>
    <row r="112">
      <c r="A112" s="7" t="inlineStr">
        <is>
          <t>2025-12-09</t>
        </is>
      </c>
      <c r="B112" s="2" t="n">
        <v>0.1172341629862785</v>
      </c>
      <c r="C112" s="2">
        <f>B112 - $J$3</f>
        <v/>
      </c>
      <c r="D112" s="2">
        <f>C112^2</f>
        <v/>
      </c>
      <c r="E112" s="2">
        <f>C112^3</f>
        <v/>
      </c>
      <c r="F112" s="2">
        <f>(C112 / $J$5)^3</f>
        <v/>
      </c>
      <c r="G112" s="2">
        <f>(C112 / $J$5)^4</f>
        <v/>
      </c>
    </row>
    <row r="113">
      <c r="A113" s="7" t="inlineStr">
        <is>
          <t>2025-12-10</t>
        </is>
      </c>
      <c r="B113" s="2" t="n">
        <v>0.1144880279898643</v>
      </c>
      <c r="C113" s="2">
        <f>B113 - $J$3</f>
        <v/>
      </c>
      <c r="D113" s="2">
        <f>C113^2</f>
        <v/>
      </c>
      <c r="E113" s="2">
        <f>C113^3</f>
        <v/>
      </c>
      <c r="F113" s="2">
        <f>(C113 / $J$5)^3</f>
        <v/>
      </c>
      <c r="G113" s="2">
        <f>(C113 / $J$5)^4</f>
        <v/>
      </c>
    </row>
    <row r="114">
      <c r="A114" s="7" t="inlineStr">
        <is>
          <t>2025-12-11</t>
        </is>
      </c>
      <c r="B114" s="2" t="n">
        <v>0.1163218319416046</v>
      </c>
      <c r="C114" s="2">
        <f>B114 - $J$3</f>
        <v/>
      </c>
      <c r="D114" s="2">
        <f>C114^2</f>
        <v/>
      </c>
      <c r="E114" s="2">
        <f>C114^3</f>
        <v/>
      </c>
      <c r="F114" s="2">
        <f>(C114 / $J$5)^3</f>
        <v/>
      </c>
      <c r="G114" s="2">
        <f>(C114 / $J$5)^4</f>
        <v/>
      </c>
    </row>
    <row r="115">
      <c r="A115" s="7" t="inlineStr">
        <is>
          <t>2025-12-12</t>
        </is>
      </c>
      <c r="B115" s="2" t="n">
        <v>0.1164082884788513</v>
      </c>
      <c r="C115" s="2">
        <f>B115 - $J$3</f>
        <v/>
      </c>
      <c r="D115" s="2">
        <f>C115^2</f>
        <v/>
      </c>
      <c r="E115" s="2">
        <f>C115^3</f>
        <v/>
      </c>
      <c r="F115" s="2">
        <f>(C115 / $J$5)^3</f>
        <v/>
      </c>
      <c r="G115" s="2">
        <f>(C115 / $J$5)^4</f>
        <v/>
      </c>
    </row>
    <row r="116">
      <c r="A116" s="7" t="inlineStr">
        <is>
          <t>2025-12-13</t>
        </is>
      </c>
      <c r="B116" s="2" t="n">
        <v>0.1184534579515457</v>
      </c>
      <c r="C116" s="2">
        <f>B116 - $J$3</f>
        <v/>
      </c>
      <c r="D116" s="2">
        <f>C116^2</f>
        <v/>
      </c>
      <c r="E116" s="2">
        <f>C116^3</f>
        <v/>
      </c>
      <c r="F116" s="2">
        <f>(C116 / $J$5)^3</f>
        <v/>
      </c>
      <c r="G116" s="2">
        <f>(C116 / $J$5)^4</f>
        <v/>
      </c>
    </row>
    <row r="117">
      <c r="A117" s="7" t="inlineStr">
        <is>
          <t>2025-12-14</t>
        </is>
      </c>
      <c r="B117" s="2" t="n">
        <v>0.1168790161609649</v>
      </c>
      <c r="C117" s="2">
        <f>B117 - $J$3</f>
        <v/>
      </c>
      <c r="D117" s="2">
        <f>C117^2</f>
        <v/>
      </c>
      <c r="E117" s="2">
        <f>C117^3</f>
        <v/>
      </c>
      <c r="F117" s="2">
        <f>(C117 / $J$5)^3</f>
        <v/>
      </c>
      <c r="G117" s="2">
        <f>(C117 / $J$5)^4</f>
        <v/>
      </c>
    </row>
    <row r="118">
      <c r="A118" s="7" t="inlineStr">
        <is>
          <t>2025-12-15</t>
        </is>
      </c>
      <c r="B118" s="2" t="n">
        <v>0.1157784983515739</v>
      </c>
      <c r="C118" s="2">
        <f>B118 - $J$3</f>
        <v/>
      </c>
      <c r="D118" s="2">
        <f>C118^2</f>
        <v/>
      </c>
      <c r="E118" s="2">
        <f>C118^3</f>
        <v/>
      </c>
      <c r="F118" s="2">
        <f>(C118 / $J$5)^3</f>
        <v/>
      </c>
      <c r="G118" s="2">
        <f>(C118 / $J$5)^4</f>
        <v/>
      </c>
    </row>
    <row r="119">
      <c r="A119" s="7" t="inlineStr">
        <is>
          <t>2025-12-16</t>
        </is>
      </c>
      <c r="B119" s="2" t="n">
        <v>0.1148344501852989</v>
      </c>
      <c r="C119" s="2">
        <f>B119 - $J$3</f>
        <v/>
      </c>
      <c r="D119" s="2">
        <f>C119^2</f>
        <v/>
      </c>
      <c r="E119" s="2">
        <f>C119^3</f>
        <v/>
      </c>
      <c r="F119" s="2">
        <f>(C119 / $J$5)^3</f>
        <v/>
      </c>
      <c r="G119" s="2">
        <f>(C119 / $J$5)^4</f>
        <v/>
      </c>
    </row>
    <row r="120">
      <c r="A120" s="7" t="inlineStr">
        <is>
          <t>2025-12-17</t>
        </is>
      </c>
      <c r="B120" s="2" t="n">
        <v>0.1192773655056953</v>
      </c>
      <c r="C120" s="2">
        <f>B120 - $J$3</f>
        <v/>
      </c>
      <c r="D120" s="2">
        <f>C120^2</f>
        <v/>
      </c>
      <c r="E120" s="2">
        <f>C120^3</f>
        <v/>
      </c>
      <c r="F120" s="2">
        <f>(C120 / $J$5)^3</f>
        <v/>
      </c>
      <c r="G120" s="2">
        <f>(C120 / $J$5)^4</f>
        <v/>
      </c>
    </row>
    <row r="121">
      <c r="A121" s="7" t="inlineStr">
        <is>
          <t>2025-12-18</t>
        </is>
      </c>
      <c r="B121" s="2" t="n">
        <v>0.1130077615380287</v>
      </c>
      <c r="C121" s="2">
        <f>B121 - $J$3</f>
        <v/>
      </c>
      <c r="D121" s="2">
        <f>C121^2</f>
        <v/>
      </c>
      <c r="E121" s="2">
        <f>C121^3</f>
        <v/>
      </c>
      <c r="F121" s="2">
        <f>(C121 / $J$5)^3</f>
        <v/>
      </c>
      <c r="G121" s="2">
        <f>(C121 / $J$5)^4</f>
        <v/>
      </c>
    </row>
    <row r="122">
      <c r="A122" s="7" t="inlineStr">
        <is>
          <t>2025-12-19</t>
        </is>
      </c>
      <c r="B122" s="2" t="n">
        <v>0.113446906208992</v>
      </c>
      <c r="C122" s="2">
        <f>B122 - $J$3</f>
        <v/>
      </c>
      <c r="D122" s="2">
        <f>C122^2</f>
        <v/>
      </c>
      <c r="E122" s="2">
        <f>C122^3</f>
        <v/>
      </c>
      <c r="F122" s="2">
        <f>(C122 / $J$5)^3</f>
        <v/>
      </c>
      <c r="G122" s="2">
        <f>(C122 / $J$5)^4</f>
        <v/>
      </c>
    </row>
    <row r="123">
      <c r="A123" s="7" t="inlineStr">
        <is>
          <t>2025-12-20</t>
        </is>
      </c>
      <c r="B123" s="2" t="n">
        <v>0.1139930561184883</v>
      </c>
      <c r="C123" s="2">
        <f>B123 - $J$3</f>
        <v/>
      </c>
      <c r="D123" s="2">
        <f>C123^2</f>
        <v/>
      </c>
      <c r="E123" s="2">
        <f>C123^3</f>
        <v/>
      </c>
      <c r="F123" s="2">
        <f>(C123 / $J$5)^3</f>
        <v/>
      </c>
      <c r="G123" s="2">
        <f>(C123 / $J$5)^4</f>
        <v/>
      </c>
    </row>
    <row r="124">
      <c r="A124" s="7" t="inlineStr">
        <is>
          <t>2025-12-21</t>
        </is>
      </c>
      <c r="B124" s="2" t="n">
        <v>0.1119382604956626</v>
      </c>
      <c r="C124" s="2">
        <f>B124 - $J$3</f>
        <v/>
      </c>
      <c r="D124" s="2">
        <f>C124^2</f>
        <v/>
      </c>
      <c r="E124" s="2">
        <f>C124^3</f>
        <v/>
      </c>
      <c r="F124" s="2">
        <f>(C124 / $J$5)^3</f>
        <v/>
      </c>
      <c r="G124" s="2">
        <f>(C124 / $J$5)^4</f>
        <v/>
      </c>
    </row>
    <row r="125">
      <c r="A125" s="7" t="inlineStr">
        <is>
          <t>2025-12-22</t>
        </is>
      </c>
      <c r="B125" s="2" t="n">
        <v>0.1136279329657554</v>
      </c>
      <c r="C125" s="2">
        <f>B125 - $J$3</f>
        <v/>
      </c>
      <c r="D125" s="2">
        <f>C125^2</f>
        <v/>
      </c>
      <c r="E125" s="2">
        <f>C125^3</f>
        <v/>
      </c>
      <c r="F125" s="2">
        <f>(C125 / $J$5)^3</f>
        <v/>
      </c>
      <c r="G125" s="2">
        <f>(C125 / $J$5)^4</f>
        <v/>
      </c>
    </row>
    <row r="126">
      <c r="A126" s="7" t="inlineStr">
        <is>
          <t>2025-12-23</t>
        </is>
      </c>
      <c r="B126" s="2" t="n">
        <v>0.1165434643626213</v>
      </c>
      <c r="C126" s="2">
        <f>B126 - $J$3</f>
        <v/>
      </c>
      <c r="D126" s="2">
        <f>C126^2</f>
        <v/>
      </c>
      <c r="E126" s="2">
        <f>C126^3</f>
        <v/>
      </c>
      <c r="F126" s="2">
        <f>(C126 / $J$5)^3</f>
        <v/>
      </c>
      <c r="G126" s="2">
        <f>(C126 / $J$5)^4</f>
        <v/>
      </c>
    </row>
    <row r="127">
      <c r="A127" s="7" t="inlineStr">
        <is>
          <t>2025-12-24</t>
        </is>
      </c>
      <c r="B127" s="2" t="n">
        <v>0.1171326711773872</v>
      </c>
      <c r="C127" s="2">
        <f>B127 - $J$3</f>
        <v/>
      </c>
      <c r="D127" s="2">
        <f>C127^2</f>
        <v/>
      </c>
      <c r="E127" s="2">
        <f>C127^3</f>
        <v/>
      </c>
      <c r="F127" s="2">
        <f>(C127 / $J$5)^3</f>
        <v/>
      </c>
      <c r="G127" s="2">
        <f>(C127 / $J$5)^4</f>
        <v/>
      </c>
    </row>
    <row r="128">
      <c r="A128" s="7" t="inlineStr">
        <is>
          <t>2025-12-25</t>
        </is>
      </c>
      <c r="B128" s="2" t="n">
        <v>0.1140333116054534</v>
      </c>
      <c r="C128" s="2">
        <f>B128 - $J$3</f>
        <v/>
      </c>
      <c r="D128" s="2">
        <f>C128^2</f>
        <v/>
      </c>
      <c r="E128" s="2">
        <f>C128^3</f>
        <v/>
      </c>
      <c r="F128" s="2">
        <f>(C128 / $J$5)^3</f>
        <v/>
      </c>
      <c r="G128" s="2">
        <f>(C128 / $J$5)^4</f>
        <v/>
      </c>
    </row>
    <row r="129">
      <c r="A129" s="7" t="inlineStr">
        <is>
          <t>2025-12-26</t>
        </is>
      </c>
      <c r="B129" s="2" t="n">
        <v>0.1136997565627098</v>
      </c>
      <c r="C129" s="2">
        <f>B129 - $J$3</f>
        <v/>
      </c>
      <c r="D129" s="2">
        <f>C129^2</f>
        <v/>
      </c>
      <c r="E129" s="2">
        <f>C129^3</f>
        <v/>
      </c>
      <c r="F129" s="2">
        <f>(C129 / $J$5)^3</f>
        <v/>
      </c>
      <c r="G129" s="2">
        <f>(C129 / $J$5)^4</f>
        <v/>
      </c>
    </row>
    <row r="130">
      <c r="A130" s="7" t="inlineStr">
        <is>
          <t>2025-12-27</t>
        </is>
      </c>
      <c r="B130" s="2" t="n">
        <v>0.1135231480002403</v>
      </c>
      <c r="C130" s="2">
        <f>B130 - $J$3</f>
        <v/>
      </c>
      <c r="D130" s="2">
        <f>C130^2</f>
        <v/>
      </c>
      <c r="E130" s="2">
        <f>C130^3</f>
        <v/>
      </c>
      <c r="F130" s="2">
        <f>(C130 / $J$5)^3</f>
        <v/>
      </c>
      <c r="G130" s="2">
        <f>(C130 / $J$5)^4</f>
        <v/>
      </c>
    </row>
    <row r="131">
      <c r="A131" s="7" t="inlineStr">
        <is>
          <t>2025-12-28</t>
        </is>
      </c>
      <c r="B131" s="2" t="n">
        <v>0.1124405935406684</v>
      </c>
      <c r="C131" s="2">
        <f>B131 - $J$3</f>
        <v/>
      </c>
      <c r="D131" s="2">
        <f>C131^2</f>
        <v/>
      </c>
      <c r="E131" s="2">
        <f>C131^3</f>
        <v/>
      </c>
      <c r="F131" s="2">
        <f>(C131 / $J$5)^3</f>
        <v/>
      </c>
      <c r="G131" s="2">
        <f>(C131 / $J$5)^4</f>
        <v/>
      </c>
    </row>
    <row r="132">
      <c r="A132" s="7" t="inlineStr">
        <is>
          <t>2025-12-29</t>
        </is>
      </c>
      <c r="B132" s="2" t="n">
        <v>0.1128360331058502</v>
      </c>
      <c r="C132" s="2">
        <f>B132 - $J$3</f>
        <v/>
      </c>
      <c r="D132" s="2">
        <f>C132^2</f>
        <v/>
      </c>
      <c r="E132" s="2">
        <f>C132^3</f>
        <v/>
      </c>
      <c r="F132" s="2">
        <f>(C132 / $J$5)^3</f>
        <v/>
      </c>
      <c r="G132" s="2">
        <f>(C132 / $J$5)^4</f>
        <v/>
      </c>
    </row>
    <row r="133">
      <c r="A133" s="7" t="inlineStr">
        <is>
          <t>2025-12-30</t>
        </is>
      </c>
      <c r="B133" s="2" t="n">
        <v>0.1126945614814758</v>
      </c>
      <c r="C133" s="2">
        <f>B133 - $J$3</f>
        <v/>
      </c>
      <c r="D133" s="2">
        <f>C133^2</f>
        <v/>
      </c>
      <c r="E133" s="2">
        <f>C133^3</f>
        <v/>
      </c>
      <c r="F133" s="2">
        <f>(C133 / $J$5)^3</f>
        <v/>
      </c>
      <c r="G133" s="2">
        <f>(C133 / $J$5)^4</f>
        <v/>
      </c>
    </row>
    <row r="134">
      <c r="A134" s="7" t="inlineStr">
        <is>
          <t>2025-12-31</t>
        </is>
      </c>
      <c r="B134" s="2" t="n">
        <v>0.1129579544067382</v>
      </c>
      <c r="C134" s="2">
        <f>B134 - $J$3</f>
        <v/>
      </c>
      <c r="D134" s="2">
        <f>C134^2</f>
        <v/>
      </c>
      <c r="E134" s="2">
        <f>C134^3</f>
        <v/>
      </c>
      <c r="F134" s="2">
        <f>(C134 / $J$5)^3</f>
        <v/>
      </c>
      <c r="G134" s="2">
        <f>(C134 / $J$5)^4</f>
        <v/>
      </c>
    </row>
    <row r="135">
      <c r="A135" s="7" t="inlineStr">
        <is>
          <t>2026-01-01</t>
        </is>
      </c>
      <c r="B135" s="2" t="n">
        <v>0.1108999550342559</v>
      </c>
      <c r="C135" s="2">
        <f>B135 - $J$3</f>
        <v/>
      </c>
      <c r="D135" s="2">
        <f>C135^2</f>
        <v/>
      </c>
      <c r="E135" s="2">
        <f>C135^3</f>
        <v/>
      </c>
      <c r="F135" s="2">
        <f>(C135 / $J$5)^3</f>
        <v/>
      </c>
      <c r="G135" s="2">
        <f>(C135 / $J$5)^4</f>
        <v/>
      </c>
    </row>
    <row r="136">
      <c r="A136" s="7" t="inlineStr">
        <is>
          <t>2026-01-02</t>
        </is>
      </c>
      <c r="B136" s="2" t="n">
        <v>0.1145774871110916</v>
      </c>
      <c r="C136" s="2">
        <f>B136 - $J$3</f>
        <v/>
      </c>
      <c r="D136" s="2">
        <f>C136^2</f>
        <v/>
      </c>
      <c r="E136" s="2">
        <f>C136^3</f>
        <v/>
      </c>
      <c r="F136" s="2">
        <f>(C136 / $J$5)^3</f>
        <v/>
      </c>
      <c r="G136" s="2">
        <f>(C136 / $J$5)^4</f>
        <v/>
      </c>
    </row>
    <row r="137">
      <c r="A137" s="7" t="inlineStr">
        <is>
          <t>2026-01-03</t>
        </is>
      </c>
      <c r="B137" s="2" t="n">
        <v>0.1183841452002525</v>
      </c>
      <c r="C137" s="2">
        <f>B137 - $J$3</f>
        <v/>
      </c>
      <c r="D137" s="2">
        <f>C137^2</f>
        <v/>
      </c>
      <c r="E137" s="2">
        <f>C137^3</f>
        <v/>
      </c>
      <c r="F137" s="2">
        <f>(C137 / $J$5)^3</f>
        <v/>
      </c>
      <c r="G137" s="2">
        <f>(C137 / $J$5)^4</f>
        <v/>
      </c>
    </row>
    <row r="138">
      <c r="A138" s="7" t="inlineStr">
        <is>
          <t>2026-01-04</t>
        </is>
      </c>
      <c r="B138" s="2" t="n">
        <v>0.1114911213517189</v>
      </c>
      <c r="C138" s="2">
        <f>B138 - $J$3</f>
        <v/>
      </c>
      <c r="D138" s="2">
        <f>C138^2</f>
        <v/>
      </c>
      <c r="E138" s="2">
        <f>C138^3</f>
        <v/>
      </c>
      <c r="F138" s="2">
        <f>(C138 / $J$5)^3</f>
        <v/>
      </c>
      <c r="G138" s="2">
        <f>(C138 / $J$5)^4</f>
        <v/>
      </c>
    </row>
    <row r="139">
      <c r="A139" s="7" t="inlineStr">
        <is>
          <t>2026-01-05</t>
        </is>
      </c>
      <c r="B139" s="2" t="n">
        <v>0.1120391115546226</v>
      </c>
      <c r="C139" s="2">
        <f>B139 - $J$3</f>
        <v/>
      </c>
      <c r="D139" s="2">
        <f>C139^2</f>
        <v/>
      </c>
      <c r="E139" s="2">
        <f>C139^3</f>
        <v/>
      </c>
      <c r="F139" s="2">
        <f>(C139 / $J$5)^3</f>
        <v/>
      </c>
      <c r="G139" s="2">
        <f>(C139 / $J$5)^4</f>
        <v/>
      </c>
    </row>
    <row r="140">
      <c r="A140" s="7" t="inlineStr">
        <is>
          <t>2026-01-06</t>
        </is>
      </c>
      <c r="B140" s="2" t="n">
        <v>0.1113495230674743</v>
      </c>
      <c r="C140" s="2">
        <f>B140 - $J$3</f>
        <v/>
      </c>
      <c r="D140" s="2">
        <f>C140^2</f>
        <v/>
      </c>
      <c r="E140" s="2">
        <f>C140^3</f>
        <v/>
      </c>
      <c r="F140" s="2">
        <f>(C140 / $J$5)^3</f>
        <v/>
      </c>
      <c r="G140" s="2">
        <f>(C140 / $J$5)^4</f>
        <v/>
      </c>
    </row>
    <row r="141">
      <c r="A141" s="7" t="inlineStr">
        <is>
          <t>2026-01-07</t>
        </is>
      </c>
      <c r="B141" s="2" t="n">
        <v>0.1113194152712822</v>
      </c>
      <c r="C141" s="2">
        <f>B141 - $J$3</f>
        <v/>
      </c>
      <c r="D141" s="2">
        <f>C141^2</f>
        <v/>
      </c>
      <c r="E141" s="2">
        <f>C141^3</f>
        <v/>
      </c>
      <c r="F141" s="2">
        <f>(C141 / $J$5)^3</f>
        <v/>
      </c>
      <c r="G141" s="2">
        <f>(C141 / $J$5)^4</f>
        <v/>
      </c>
    </row>
    <row r="142">
      <c r="A142" s="7" t="inlineStr">
        <is>
          <t>2026-01-08</t>
        </is>
      </c>
      <c r="B142" s="2" t="n">
        <v>0.1133386120200157</v>
      </c>
      <c r="C142" s="2">
        <f>B142 - $J$3</f>
        <v/>
      </c>
      <c r="D142" s="2">
        <f>C142^2</f>
        <v/>
      </c>
      <c r="E142" s="2">
        <f>C142^3</f>
        <v/>
      </c>
      <c r="F142" s="2">
        <f>(C142 / $J$5)^3</f>
        <v/>
      </c>
      <c r="G142" s="2">
        <f>(C142 / $J$5)^4</f>
        <v/>
      </c>
    </row>
    <row r="143">
      <c r="A143" s="7" t="inlineStr">
        <is>
          <t>2026-01-09</t>
        </is>
      </c>
      <c r="B143" s="2" t="n">
        <v>0.1119423806667327</v>
      </c>
      <c r="C143" s="2">
        <f>B143 - $J$3</f>
        <v/>
      </c>
      <c r="D143" s="2">
        <f>C143^2</f>
        <v/>
      </c>
      <c r="E143" s="2">
        <f>C143^3</f>
        <v/>
      </c>
      <c r="F143" s="2">
        <f>(C143 / $J$5)^3</f>
        <v/>
      </c>
      <c r="G143" s="2">
        <f>(C143 / $J$5)^4</f>
        <v/>
      </c>
    </row>
    <row r="144">
      <c r="A144" s="7" t="inlineStr">
        <is>
          <t>2026-01-10</t>
        </is>
      </c>
      <c r="B144" s="2" t="n">
        <v>0.1119610592722892</v>
      </c>
      <c r="C144" s="2">
        <f>B144 - $J$3</f>
        <v/>
      </c>
      <c r="D144" s="2">
        <f>C144^2</f>
        <v/>
      </c>
      <c r="E144" s="2">
        <f>C144^3</f>
        <v/>
      </c>
      <c r="F144" s="2">
        <f>(C144 / $J$5)^3</f>
        <v/>
      </c>
      <c r="G144" s="2">
        <f>(C144 / $J$5)^4</f>
        <v/>
      </c>
    </row>
    <row r="145">
      <c r="A145" s="7" t="inlineStr">
        <is>
          <t>2026-01-11</t>
        </is>
      </c>
      <c r="B145" s="2" t="n">
        <v>0.1134037151932716</v>
      </c>
      <c r="C145" s="2">
        <f>B145 - $J$3</f>
        <v/>
      </c>
      <c r="D145" s="2">
        <f>C145^2</f>
        <v/>
      </c>
      <c r="E145" s="2">
        <f>C145^3</f>
        <v/>
      </c>
      <c r="F145" s="2">
        <f>(C145 / $J$5)^3</f>
        <v/>
      </c>
      <c r="G145" s="2">
        <f>(C145 / $J$5)^4</f>
        <v/>
      </c>
    </row>
    <row r="146">
      <c r="A146" s="7" t="inlineStr">
        <is>
          <t>2026-01-12</t>
        </is>
      </c>
      <c r="B146" s="2" t="n">
        <v>0.1144171580672264</v>
      </c>
      <c r="C146" s="2">
        <f>B146 - $J$3</f>
        <v/>
      </c>
      <c r="D146" s="2">
        <f>C146^2</f>
        <v/>
      </c>
      <c r="E146" s="2">
        <f>C146^3</f>
        <v/>
      </c>
      <c r="F146" s="2">
        <f>(C146 / $J$5)^3</f>
        <v/>
      </c>
      <c r="G146" s="2">
        <f>(C146 / $J$5)^4</f>
        <v/>
      </c>
    </row>
    <row r="147">
      <c r="A147" s="7" t="inlineStr">
        <is>
          <t>2026-01-13</t>
        </is>
      </c>
      <c r="B147" s="2" t="n">
        <v>0.1109898909926414</v>
      </c>
      <c r="C147" s="2">
        <f>B147 - $J$3</f>
        <v/>
      </c>
      <c r="D147" s="2">
        <f>C147^2</f>
        <v/>
      </c>
      <c r="E147" s="2">
        <f>C147^3</f>
        <v/>
      </c>
      <c r="F147" s="2">
        <f>(C147 / $J$5)^3</f>
        <v/>
      </c>
      <c r="G147" s="2">
        <f>(C147 / $J$5)^4</f>
        <v/>
      </c>
    </row>
    <row r="148">
      <c r="A148" s="7" t="inlineStr">
        <is>
          <t>2026-01-14</t>
        </is>
      </c>
      <c r="B148" s="2" t="n">
        <v>0.1134975105524063</v>
      </c>
      <c r="C148" s="2">
        <f>B148 - $J$3</f>
        <v/>
      </c>
      <c r="D148" s="2">
        <f>C148^2</f>
        <v/>
      </c>
      <c r="E148" s="2">
        <f>C148^3</f>
        <v/>
      </c>
      <c r="F148" s="2">
        <f>(C148 / $J$5)^3</f>
        <v/>
      </c>
      <c r="G148" s="2">
        <f>(C148 / $J$5)^4</f>
        <v/>
      </c>
    </row>
    <row r="149">
      <c r="A149" s="7" t="inlineStr">
        <is>
          <t>2026-01-15</t>
        </is>
      </c>
      <c r="B149" s="2" t="n">
        <v>0.1176821142435073</v>
      </c>
      <c r="C149" s="2">
        <f>B149 - $J$3</f>
        <v/>
      </c>
      <c r="D149" s="2">
        <f>C149^2</f>
        <v/>
      </c>
      <c r="E149" s="2">
        <f>C149^3</f>
        <v/>
      </c>
      <c r="F149" s="2">
        <f>(C149 / $J$5)^3</f>
        <v/>
      </c>
      <c r="G149" s="2">
        <f>(C149 / $J$5)^4</f>
        <v/>
      </c>
    </row>
    <row r="150">
      <c r="A150" s="7" t="inlineStr">
        <is>
          <t>2026-01-16</t>
        </is>
      </c>
      <c r="B150" s="2" t="n">
        <v>0.1144502758979797</v>
      </c>
      <c r="C150" s="2">
        <f>B150 - $J$3</f>
        <v/>
      </c>
      <c r="D150" s="2">
        <f>C150^2</f>
        <v/>
      </c>
      <c r="E150" s="2">
        <f>C150^3</f>
        <v/>
      </c>
      <c r="F150" s="2">
        <f>(C150 / $J$5)^3</f>
        <v/>
      </c>
      <c r="G150" s="2">
        <f>(C150 / $J$5)^4</f>
        <v/>
      </c>
    </row>
    <row r="151">
      <c r="A151" s="7" t="inlineStr">
        <is>
          <t>2026-01-17</t>
        </is>
      </c>
      <c r="B151" s="2" t="n">
        <v>0.1159315332770347</v>
      </c>
      <c r="C151" s="2">
        <f>B151 - $J$3</f>
        <v/>
      </c>
      <c r="D151" s="2">
        <f>C151^2</f>
        <v/>
      </c>
      <c r="E151" s="2">
        <f>C151^3</f>
        <v/>
      </c>
      <c r="F151" s="2">
        <f>(C151 / $J$5)^3</f>
        <v/>
      </c>
      <c r="G151" s="2">
        <f>(C151 / $J$5)^4</f>
        <v/>
      </c>
    </row>
    <row r="152">
      <c r="A152" s="7" t="inlineStr">
        <is>
          <t>2026-01-18</t>
        </is>
      </c>
      <c r="B152" s="2" t="n">
        <v>0.1107411459088325</v>
      </c>
      <c r="C152" s="2">
        <f>B152 - $J$3</f>
        <v/>
      </c>
      <c r="D152" s="2">
        <f>C152^2</f>
        <v/>
      </c>
      <c r="E152" s="2">
        <f>C152^3</f>
        <v/>
      </c>
      <c r="F152" s="2">
        <f>(C152 / $J$5)^3</f>
        <v/>
      </c>
      <c r="G152" s="2">
        <f>(C152 / $J$5)^4</f>
        <v/>
      </c>
    </row>
    <row r="153">
      <c r="A153" s="7" t="inlineStr">
        <is>
          <t>2026-01-19</t>
        </is>
      </c>
      <c r="B153" s="2" t="n">
        <v>0.1182184815406799</v>
      </c>
      <c r="C153" s="2">
        <f>B153 - $J$3</f>
        <v/>
      </c>
      <c r="D153" s="2">
        <f>C153^2</f>
        <v/>
      </c>
      <c r="E153" s="2">
        <f>C153^3</f>
        <v/>
      </c>
      <c r="F153" s="2">
        <f>(C153 / $J$5)^3</f>
        <v/>
      </c>
      <c r="G153" s="2">
        <f>(C153 / $J$5)^4</f>
        <v/>
      </c>
    </row>
    <row r="154">
      <c r="A154" s="7" t="inlineStr">
        <is>
          <t>2026-01-21</t>
        </is>
      </c>
      <c r="B154" s="2" t="n">
        <v>0.1169376075267791</v>
      </c>
      <c r="C154" s="2">
        <f>B154 - $J$3</f>
        <v/>
      </c>
      <c r="D154" s="2">
        <f>C154^2</f>
        <v/>
      </c>
      <c r="E154" s="2">
        <f>C154^3</f>
        <v/>
      </c>
      <c r="F154" s="2">
        <f>(C154 / $J$5)^3</f>
        <v/>
      </c>
      <c r="G154" s="2">
        <f>(C154 / $J$5)^4</f>
        <v/>
      </c>
    </row>
    <row r="155">
      <c r="A155" s="7" t="inlineStr">
        <is>
          <t>2026-01-22</t>
        </is>
      </c>
      <c r="B155" s="2" t="n">
        <v>0.1136338114738464</v>
      </c>
      <c r="C155" s="2">
        <f>B155 - $J$3</f>
        <v/>
      </c>
      <c r="D155" s="2">
        <f>C155^2</f>
        <v/>
      </c>
      <c r="E155" s="2">
        <f>C155^3</f>
        <v/>
      </c>
      <c r="F155" s="2">
        <f>(C155 / $J$5)^3</f>
        <v/>
      </c>
      <c r="G155" s="2">
        <f>(C155 / $J$5)^4</f>
        <v/>
      </c>
    </row>
    <row r="156">
      <c r="A156" s="7" t="inlineStr">
        <is>
          <t>2026-01-23</t>
        </is>
      </c>
      <c r="B156" s="2" t="n">
        <v>0.1156373843550682</v>
      </c>
      <c r="C156" s="2">
        <f>B156 - $J$3</f>
        <v/>
      </c>
      <c r="D156" s="2">
        <f>C156^2</f>
        <v/>
      </c>
      <c r="E156" s="2">
        <f>C156^3</f>
        <v/>
      </c>
      <c r="F156" s="2">
        <f>(C156 / $J$5)^3</f>
        <v/>
      </c>
      <c r="G156" s="2">
        <f>(C156 / $J$5)^4</f>
        <v/>
      </c>
    </row>
    <row r="157">
      <c r="A157" s="7" t="inlineStr">
        <is>
          <t>2026-01-24</t>
        </is>
      </c>
      <c r="B157" s="2" t="n">
        <v>0.1175336092710495</v>
      </c>
      <c r="C157" s="2">
        <f>B157 - $J$3</f>
        <v/>
      </c>
      <c r="D157" s="2">
        <f>C157^2</f>
        <v/>
      </c>
      <c r="E157" s="2">
        <f>C157^3</f>
        <v/>
      </c>
      <c r="F157" s="2">
        <f>(C157 / $J$5)^3</f>
        <v/>
      </c>
      <c r="G157" s="2">
        <f>(C157 / $J$5)^4</f>
        <v/>
      </c>
    </row>
    <row r="158">
      <c r="A158" s="7" t="inlineStr">
        <is>
          <t>2026-01-25</t>
        </is>
      </c>
      <c r="B158" s="2" t="n">
        <v>0.1139627024531364</v>
      </c>
      <c r="C158" s="2">
        <f>B158 - $J$3</f>
        <v/>
      </c>
      <c r="D158" s="2">
        <f>C158^2</f>
        <v/>
      </c>
      <c r="E158" s="2">
        <f>C158^3</f>
        <v/>
      </c>
      <c r="F158" s="2">
        <f>(C158 / $J$5)^3</f>
        <v/>
      </c>
      <c r="G158" s="2">
        <f>(C158 / $J$5)^4</f>
        <v/>
      </c>
    </row>
    <row r="159">
      <c r="A159" s="7" t="inlineStr">
        <is>
          <t>2026-01-26</t>
        </is>
      </c>
      <c r="B159" s="2" t="n">
        <v>0.1182469278573989</v>
      </c>
      <c r="C159" s="2">
        <f>B159 - $J$3</f>
        <v/>
      </c>
      <c r="D159" s="2">
        <f>C159^2</f>
        <v/>
      </c>
      <c r="E159" s="2">
        <f>C159^3</f>
        <v/>
      </c>
      <c r="F159" s="2">
        <f>(C159 / $J$5)^3</f>
        <v/>
      </c>
      <c r="G159" s="2">
        <f>(C159 / $J$5)^4</f>
        <v/>
      </c>
    </row>
    <row r="160">
      <c r="A160" s="7" t="inlineStr">
        <is>
          <t>2026-01-27</t>
        </is>
      </c>
      <c r="B160" s="2" t="n">
        <v>0.1205629557371139</v>
      </c>
      <c r="C160" s="2">
        <f>B160 - $J$3</f>
        <v/>
      </c>
      <c r="D160" s="2">
        <f>C160^2</f>
        <v/>
      </c>
      <c r="E160" s="2">
        <f>C160^3</f>
        <v/>
      </c>
      <c r="F160" s="2">
        <f>(C160 / $J$5)^3</f>
        <v/>
      </c>
      <c r="G160" s="2">
        <f>(C160 / $J$5)^4</f>
        <v/>
      </c>
    </row>
    <row r="161">
      <c r="A161" s="7" t="inlineStr">
        <is>
          <t>2026-01-28</t>
        </is>
      </c>
      <c r="B161" s="2" t="n">
        <v>0.1214306950569152</v>
      </c>
      <c r="C161" s="2">
        <f>B161 - $J$3</f>
        <v/>
      </c>
      <c r="D161" s="2">
        <f>C161^2</f>
        <v/>
      </c>
      <c r="E161" s="2">
        <f>C161^3</f>
        <v/>
      </c>
      <c r="F161" s="2">
        <f>(C161 / $J$5)^3</f>
        <v/>
      </c>
      <c r="G161" s="2">
        <f>(C161 / $J$5)^4</f>
        <v/>
      </c>
    </row>
    <row r="162">
      <c r="A162" s="7" t="inlineStr">
        <is>
          <t>2026-01-29</t>
        </is>
      </c>
      <c r="B162" s="2" t="n">
        <v>0.122507520020008</v>
      </c>
      <c r="C162" s="2">
        <f>B162 - $J$3</f>
        <v/>
      </c>
      <c r="D162" s="2">
        <f>C162^2</f>
        <v/>
      </c>
      <c r="E162" s="2">
        <f>C162^3</f>
        <v/>
      </c>
      <c r="F162" s="2">
        <f>(C162 / $J$5)^3</f>
        <v/>
      </c>
      <c r="G162" s="2">
        <f>(C162 / $J$5)^4</f>
        <v/>
      </c>
    </row>
    <row r="163">
      <c r="A163" s="7" t="inlineStr">
        <is>
          <t>2026-01-30</t>
        </is>
      </c>
      <c r="B163" s="2" t="n">
        <v>0.1223006546497345</v>
      </c>
      <c r="C163" s="2">
        <f>B163 - $J$3</f>
        <v/>
      </c>
      <c r="D163" s="2">
        <f>C163^2</f>
        <v/>
      </c>
      <c r="E163" s="2">
        <f>C163^3</f>
        <v/>
      </c>
      <c r="F163" s="2">
        <f>(C163 / $J$5)^3</f>
        <v/>
      </c>
      <c r="G163" s="2">
        <f>(C163 / $J$5)^4</f>
        <v/>
      </c>
    </row>
    <row r="164">
      <c r="A164" s="7" t="inlineStr">
        <is>
          <t>2026-01-31</t>
        </is>
      </c>
      <c r="B164" s="2" t="n">
        <v>0.1220867484807968</v>
      </c>
      <c r="C164" s="2">
        <f>B164 - $J$3</f>
        <v/>
      </c>
      <c r="D164" s="2">
        <f>C164^2</f>
        <v/>
      </c>
      <c r="E164" s="2">
        <f>C164^3</f>
        <v/>
      </c>
      <c r="F164" s="2">
        <f>(C164 / $J$5)^3</f>
        <v/>
      </c>
      <c r="G164" s="2">
        <f>(C164 / $J$5)^4</f>
        <v/>
      </c>
    </row>
    <row r="165">
      <c r="A165" s="7" t="inlineStr">
        <is>
          <t>2026-02-01</t>
        </is>
      </c>
      <c r="B165" s="2" t="n">
        <v>0.1188874319195747</v>
      </c>
      <c r="C165" s="2">
        <f>B165 - $J$3</f>
        <v/>
      </c>
      <c r="D165" s="2">
        <f>C165^2</f>
        <v/>
      </c>
      <c r="E165" s="2">
        <f>C165^3</f>
        <v/>
      </c>
      <c r="F165" s="2">
        <f>(C165 / $J$5)^3</f>
        <v/>
      </c>
      <c r="G165" s="2">
        <f>(C165 / $J$5)^4</f>
        <v/>
      </c>
    </row>
    <row r="166">
      <c r="A166" s="7" t="inlineStr">
        <is>
          <t>2026-02-02</t>
        </is>
      </c>
      <c r="B166" s="2" t="n">
        <v>0.117357350885868</v>
      </c>
      <c r="C166" s="2">
        <f>B166 - $J$3</f>
        <v/>
      </c>
      <c r="D166" s="2">
        <f>C166^2</f>
        <v/>
      </c>
      <c r="E166" s="2">
        <f>C166^3</f>
        <v/>
      </c>
      <c r="F166" s="2">
        <f>(C166 / $J$5)^3</f>
        <v/>
      </c>
      <c r="G166" s="2">
        <f>(C166 / $J$5)^4</f>
        <v/>
      </c>
    </row>
    <row r="167">
      <c r="A167" s="7" t="inlineStr">
        <is>
          <t>2026-02-03</t>
        </is>
      </c>
      <c r="B167" s="2" t="n">
        <v>0.1136033684015274</v>
      </c>
      <c r="C167" s="2">
        <f>B167 - $J$3</f>
        <v/>
      </c>
      <c r="D167" s="2">
        <f>C167^2</f>
        <v/>
      </c>
      <c r="E167" s="2">
        <f>C167^3</f>
        <v/>
      </c>
      <c r="F167" s="2">
        <f>(C167 / $J$5)^3</f>
        <v/>
      </c>
      <c r="G167" s="2">
        <f>(C167 / $J$5)^4</f>
        <v/>
      </c>
    </row>
    <row r="168">
      <c r="A168" s="7" t="inlineStr">
        <is>
          <t>2026-02-04</t>
        </is>
      </c>
      <c r="B168" s="2" t="n">
        <v>0.1184974461793899</v>
      </c>
      <c r="C168" s="2">
        <f>B168 - $J$3</f>
        <v/>
      </c>
      <c r="D168" s="2">
        <f>C168^2</f>
        <v/>
      </c>
      <c r="E168" s="2">
        <f>C168^3</f>
        <v/>
      </c>
      <c r="F168" s="2">
        <f>(C168 / $J$5)^3</f>
        <v/>
      </c>
      <c r="G168" s="2">
        <f>(C168 / $J$5)^4</f>
        <v/>
      </c>
    </row>
    <row r="169">
      <c r="A169" s="7" t="inlineStr">
        <is>
          <t>2026-02-05</t>
        </is>
      </c>
      <c r="B169" s="2" t="n">
        <v>0.1130448579788208</v>
      </c>
      <c r="C169" s="2">
        <f>B169 - $J$3</f>
        <v/>
      </c>
      <c r="D169" s="2">
        <f>C169^2</f>
        <v/>
      </c>
      <c r="E169" s="2">
        <f>C169^3</f>
        <v/>
      </c>
      <c r="F169" s="2">
        <f>(C169 / $J$5)^3</f>
        <v/>
      </c>
      <c r="G169" s="2">
        <f>(C169 / $J$5)^4</f>
        <v/>
      </c>
    </row>
    <row r="170">
      <c r="A170" s="7" t="inlineStr">
        <is>
          <t>2026-02-06</t>
        </is>
      </c>
      <c r="B170" s="2" t="n">
        <v>0.1120203360915184</v>
      </c>
      <c r="C170" s="2">
        <f>B170 - $J$3</f>
        <v/>
      </c>
      <c r="D170" s="2">
        <f>C170^2</f>
        <v/>
      </c>
      <c r="E170" s="2">
        <f>C170^3</f>
        <v/>
      </c>
      <c r="F170" s="2">
        <f>(C170 / $J$5)^3</f>
        <v/>
      </c>
      <c r="G170" s="2">
        <f>(C170 / $J$5)^4</f>
        <v/>
      </c>
    </row>
    <row r="171">
      <c r="A171" s="7" t="inlineStr">
        <is>
          <t>2026-02-07</t>
        </is>
      </c>
      <c r="B171" s="2" t="n">
        <v>0.1144555509090423</v>
      </c>
      <c r="C171" s="2">
        <f>B171 - $J$3</f>
        <v/>
      </c>
      <c r="D171" s="2">
        <f>C171^2</f>
        <v/>
      </c>
      <c r="E171" s="2">
        <f>C171^3</f>
        <v/>
      </c>
      <c r="F171" s="2">
        <f>(C171 / $J$5)^3</f>
        <v/>
      </c>
      <c r="G171" s="2">
        <f>(C171 / $J$5)^4</f>
        <v/>
      </c>
    </row>
    <row r="172">
      <c r="A172" s="7" t="inlineStr">
        <is>
          <t>2026-02-08</t>
        </is>
      </c>
      <c r="B172" s="2" t="n">
        <v>0.1145864352583885</v>
      </c>
      <c r="C172" s="2">
        <f>B172 - $J$3</f>
        <v/>
      </c>
      <c r="D172" s="2">
        <f>C172^2</f>
        <v/>
      </c>
      <c r="E172" s="2">
        <f>C172^3</f>
        <v/>
      </c>
      <c r="F172" s="2">
        <f>(C172 / $J$5)^3</f>
        <v/>
      </c>
      <c r="G172" s="2">
        <f>(C172 / $J$5)^4</f>
        <v/>
      </c>
    </row>
    <row r="173">
      <c r="A173" s="7" t="inlineStr">
        <is>
          <t>2026-02-09</t>
        </is>
      </c>
      <c r="B173" s="2" t="n">
        <v>0.1147979870438575</v>
      </c>
      <c r="C173" s="2">
        <f>B173 - $J$3</f>
        <v/>
      </c>
      <c r="D173" s="2">
        <f>C173^2</f>
        <v/>
      </c>
      <c r="E173" s="2">
        <f>C173^3</f>
        <v/>
      </c>
      <c r="F173" s="2">
        <f>(C173 / $J$5)^3</f>
        <v/>
      </c>
      <c r="G173" s="2">
        <f>(C173 / $J$5)^4</f>
        <v/>
      </c>
    </row>
    <row r="174">
      <c r="A174" s="7" t="inlineStr">
        <is>
          <t>2026-02-10</t>
        </is>
      </c>
      <c r="B174" s="2" t="n">
        <v>0.1112309470772743</v>
      </c>
      <c r="C174" s="2">
        <f>B174 - $J$3</f>
        <v/>
      </c>
      <c r="D174" s="2">
        <f>C174^2</f>
        <v/>
      </c>
      <c r="E174" s="2">
        <f>C174^3</f>
        <v/>
      </c>
      <c r="F174" s="2">
        <f>(C174 / $J$5)^3</f>
        <v/>
      </c>
      <c r="G174" s="2">
        <f>(C174 / $J$5)^4</f>
        <v/>
      </c>
    </row>
    <row r="175">
      <c r="A175" s="7" t="inlineStr">
        <is>
          <t>2026-02-11</t>
        </is>
      </c>
      <c r="B175" s="2" t="n">
        <v>0.1127569004893302</v>
      </c>
      <c r="C175" s="2">
        <f>B175 - $J$3</f>
        <v/>
      </c>
      <c r="D175" s="2">
        <f>C175^2</f>
        <v/>
      </c>
      <c r="E175" s="2">
        <f>C175^3</f>
        <v/>
      </c>
      <c r="F175" s="2">
        <f>(C175 / $J$5)^3</f>
        <v/>
      </c>
      <c r="G175" s="2">
        <f>(C175 / $J$5)^4</f>
        <v/>
      </c>
    </row>
    <row r="176">
      <c r="A176" s="7" t="inlineStr">
        <is>
          <t>2026-02-12</t>
        </is>
      </c>
      <c r="B176" s="2" t="n">
        <v>0.1165654584765434</v>
      </c>
      <c r="C176" s="2">
        <f>B176 - $J$3</f>
        <v/>
      </c>
      <c r="D176" s="2">
        <f>C176^2</f>
        <v/>
      </c>
      <c r="E176" s="2">
        <f>C176^3</f>
        <v/>
      </c>
      <c r="F176" s="2">
        <f>(C176 / $J$5)^3</f>
        <v/>
      </c>
      <c r="G176" s="2">
        <f>(C176 / $J$5)^4</f>
        <v/>
      </c>
    </row>
    <row r="177">
      <c r="A177" s="7" t="inlineStr">
        <is>
          <t>2026-02-13</t>
        </is>
      </c>
      <c r="B177" s="2" t="n">
        <v>0.1220042258501052</v>
      </c>
      <c r="C177" s="2">
        <f>B177 - $J$3</f>
        <v/>
      </c>
      <c r="D177" s="2">
        <f>C177^2</f>
        <v/>
      </c>
      <c r="E177" s="2">
        <f>C177^3</f>
        <v/>
      </c>
      <c r="F177" s="2">
        <f>(C177 / $J$5)^3</f>
        <v/>
      </c>
      <c r="G177" s="2">
        <f>(C177 / $J$5)^4</f>
        <v/>
      </c>
    </row>
    <row r="178">
      <c r="A178" s="7" t="inlineStr">
        <is>
          <t>2026-02-14</t>
        </is>
      </c>
      <c r="B178" s="2" t="n">
        <v>0.1204704120755195</v>
      </c>
      <c r="C178" s="2">
        <f>B178 - $J$3</f>
        <v/>
      </c>
      <c r="D178" s="2">
        <f>C178^2</f>
        <v/>
      </c>
      <c r="E178" s="2">
        <f>C178^3</f>
        <v/>
      </c>
      <c r="F178" s="2">
        <f>(C178 / $J$5)^3</f>
        <v/>
      </c>
      <c r="G178" s="2">
        <f>(C178 / $J$5)^4</f>
        <v/>
      </c>
    </row>
    <row r="179">
      <c r="A179" s="7" t="inlineStr">
        <is>
          <t>2026-02-15</t>
        </is>
      </c>
      <c r="B179" s="2" t="n">
        <v>0.1155196130275726</v>
      </c>
      <c r="C179" s="2">
        <f>B179 - $J$3</f>
        <v/>
      </c>
      <c r="D179" s="2">
        <f>C179^2</f>
        <v/>
      </c>
      <c r="E179" s="2">
        <f>C179^3</f>
        <v/>
      </c>
      <c r="F179" s="2">
        <f>(C179 / $J$5)^3</f>
        <v/>
      </c>
      <c r="G179" s="2">
        <f>(C179 / $J$5)^4</f>
        <v/>
      </c>
    </row>
    <row r="180">
      <c r="A180" s="7" t="inlineStr">
        <is>
          <t>2026-02-17</t>
        </is>
      </c>
      <c r="B180" s="2" t="n">
        <v>0.1159687712788581</v>
      </c>
      <c r="C180" s="2">
        <f>B180 - $J$3</f>
        <v/>
      </c>
      <c r="D180" s="2">
        <f>C180^2</f>
        <v/>
      </c>
      <c r="E180" s="2">
        <f>C180^3</f>
        <v/>
      </c>
      <c r="F180" s="2">
        <f>(C180 / $J$5)^3</f>
        <v/>
      </c>
      <c r="G180" s="2">
        <f>(C180 / $J$5)^4</f>
        <v/>
      </c>
    </row>
    <row r="181">
      <c r="A181" s="7" t="inlineStr">
        <is>
          <t>2026-02-18</t>
        </is>
      </c>
      <c r="B181" s="2" t="n">
        <v>0.1174269691109657</v>
      </c>
      <c r="C181" s="2">
        <f>B181 - $J$3</f>
        <v/>
      </c>
      <c r="D181" s="2">
        <f>C181^2</f>
        <v/>
      </c>
      <c r="E181" s="2">
        <f>C181^3</f>
        <v/>
      </c>
      <c r="F181" s="2">
        <f>(C181 / $J$5)^3</f>
        <v/>
      </c>
      <c r="G181" s="2">
        <f>(C181 / $J$5)^4</f>
        <v/>
      </c>
    </row>
    <row r="182">
      <c r="A182" s="7" t="inlineStr">
        <is>
          <t>2026-02-19</t>
        </is>
      </c>
      <c r="B182" s="2" t="n">
        <v>0.1215156763792038</v>
      </c>
      <c r="C182" s="2">
        <f>B182 - $J$3</f>
        <v/>
      </c>
      <c r="D182" s="2">
        <f>C182^2</f>
        <v/>
      </c>
      <c r="E182" s="2">
        <f>C182^3</f>
        <v/>
      </c>
      <c r="F182" s="2">
        <f>(C182 / $J$5)^3</f>
        <v/>
      </c>
      <c r="G182" s="2">
        <f>(C182 / $J$5)^4</f>
        <v/>
      </c>
    </row>
    <row r="183">
      <c r="A183" s="7" t="inlineStr">
        <is>
          <t>2026-02-20</t>
        </is>
      </c>
      <c r="B183" s="2" t="n">
        <v>0.1153949201107025</v>
      </c>
      <c r="C183" s="2">
        <f>B183 - $J$3</f>
        <v/>
      </c>
      <c r="D183" s="2">
        <f>C183^2</f>
        <v/>
      </c>
      <c r="E183" s="2">
        <f>C183^3</f>
        <v/>
      </c>
      <c r="F183" s="2">
        <f>(C183 / $J$5)^3</f>
        <v/>
      </c>
      <c r="G183" s="2">
        <f>(C183 / $J$5)^4</f>
        <v/>
      </c>
    </row>
    <row r="184">
      <c r="A184" s="7" t="inlineStr">
        <is>
          <t>2026-02-21</t>
        </is>
      </c>
      <c r="B184" s="2" t="n">
        <v>0.1110344156622886</v>
      </c>
      <c r="C184" s="2">
        <f>B184 - $J$3</f>
        <v/>
      </c>
      <c r="D184" s="2">
        <f>C184^2</f>
        <v/>
      </c>
      <c r="E184" s="2">
        <f>C184^3</f>
        <v/>
      </c>
      <c r="F184" s="2">
        <f>(C184 / $J$5)^3</f>
        <v/>
      </c>
      <c r="G184" s="2">
        <f>(C184 / $J$5)^4</f>
        <v/>
      </c>
    </row>
    <row r="185">
      <c r="A185" s="7" t="inlineStr">
        <is>
          <t>2026-02-22</t>
        </is>
      </c>
      <c r="B185" s="2" t="n">
        <v>0.1149197444319725</v>
      </c>
      <c r="C185" s="2">
        <f>B185 - $J$3</f>
        <v/>
      </c>
      <c r="D185" s="2">
        <f>C185^2</f>
        <v/>
      </c>
      <c r="E185" s="2">
        <f>C185^3</f>
        <v/>
      </c>
      <c r="F185" s="2">
        <f>(C185 / $J$5)^3</f>
        <v/>
      </c>
      <c r="G185" s="2">
        <f>(C185 / $J$5)^4</f>
        <v/>
      </c>
    </row>
    <row r="186">
      <c r="A186" s="7" t="inlineStr">
        <is>
          <t>2026-02-23</t>
        </is>
      </c>
      <c r="B186" s="2" t="n">
        <v>0.1192868500947952</v>
      </c>
      <c r="C186" s="2">
        <f>B186 - $J$3</f>
        <v/>
      </c>
      <c r="D186" s="2">
        <f>C186^2</f>
        <v/>
      </c>
      <c r="E186" s="2">
        <f>C186^3</f>
        <v/>
      </c>
      <c r="F186" s="2">
        <f>(C186 / $J$5)^3</f>
        <v/>
      </c>
      <c r="G186" s="2">
        <f>(C186 / $J$5)^4</f>
        <v/>
      </c>
    </row>
    <row r="187">
      <c r="A187" s="7" t="inlineStr">
        <is>
          <t>2026-02-24</t>
        </is>
      </c>
      <c r="B187" s="2" t="n">
        <v>0.1157165393233299</v>
      </c>
      <c r="C187" s="2">
        <f>B187 - $J$3</f>
        <v/>
      </c>
      <c r="D187" s="2">
        <f>C187^2</f>
        <v/>
      </c>
      <c r="E187" s="2">
        <f>C187^3</f>
        <v/>
      </c>
      <c r="F187" s="2">
        <f>(C187 / $J$5)^3</f>
        <v/>
      </c>
      <c r="G187" s="2">
        <f>(C187 / $J$5)^4</f>
        <v/>
      </c>
    </row>
    <row r="188">
      <c r="A188" s="7" t="inlineStr">
        <is>
          <t>2026-02-25</t>
        </is>
      </c>
      <c r="B188" s="2" t="n">
        <v>0.11966273188591</v>
      </c>
      <c r="C188" s="2">
        <f>B188 - $J$3</f>
        <v/>
      </c>
      <c r="D188" s="2">
        <f>C188^2</f>
        <v/>
      </c>
      <c r="E188" s="2">
        <f>C188^3</f>
        <v/>
      </c>
      <c r="F188" s="2">
        <f>(C188 / $J$5)^3</f>
        <v/>
      </c>
      <c r="G188" s="2">
        <f>(C188 / $J$5)^4</f>
        <v/>
      </c>
    </row>
    <row r="189">
      <c r="A189" s="7" t="inlineStr">
        <is>
          <t>2026-02-26</t>
        </is>
      </c>
      <c r="B189" s="2" t="n">
        <v>0.1120118796825409</v>
      </c>
      <c r="C189" s="2">
        <f>B189 - $J$3</f>
        <v/>
      </c>
      <c r="D189" s="2">
        <f>C189^2</f>
        <v/>
      </c>
      <c r="E189" s="2">
        <f>C189^3</f>
        <v/>
      </c>
      <c r="F189" s="2">
        <f>(C189 / $J$5)^3</f>
        <v/>
      </c>
      <c r="G189" s="2">
        <f>(C189 / $J$5)^4</f>
        <v/>
      </c>
    </row>
    <row r="190">
      <c r="A190" s="7" t="inlineStr">
        <is>
          <t>2026-02-27</t>
        </is>
      </c>
      <c r="B190" s="2" t="n">
        <v>0.1097328141331672</v>
      </c>
      <c r="C190" s="2">
        <f>B190 - $J$3</f>
        <v/>
      </c>
      <c r="D190" s="2">
        <f>C190^2</f>
        <v/>
      </c>
      <c r="E190" s="2">
        <f>C190^3</f>
        <v/>
      </c>
      <c r="F190" s="2">
        <f>(C190 / $J$5)^3</f>
        <v/>
      </c>
      <c r="G190" s="2">
        <f>(C190 / $J$5)^4</f>
        <v/>
      </c>
    </row>
    <row r="191">
      <c r="A191" s="7" t="inlineStr">
        <is>
          <t>2026-02-28</t>
        </is>
      </c>
      <c r="B191" s="2" t="n">
        <v>0.1107694059610366</v>
      </c>
      <c r="C191" s="2">
        <f>B191 - $J$3</f>
        <v/>
      </c>
      <c r="D191" s="2">
        <f>C191^2</f>
        <v/>
      </c>
      <c r="E191" s="2">
        <f>C191^3</f>
        <v/>
      </c>
      <c r="F191" s="2">
        <f>(C191 / $J$5)^3</f>
        <v/>
      </c>
      <c r="G191" s="2">
        <f>(C191 / $J$5)^4</f>
        <v/>
      </c>
    </row>
    <row r="192">
      <c r="A192" s="7" t="inlineStr">
        <is>
          <t>2026-03-01</t>
        </is>
      </c>
      <c r="B192" s="2" t="n">
        <v>0.1136692687869072</v>
      </c>
      <c r="C192" s="2">
        <f>B192 - $J$3</f>
        <v/>
      </c>
      <c r="D192" s="2">
        <f>C192^2</f>
        <v/>
      </c>
      <c r="E192" s="2">
        <f>C192^3</f>
        <v/>
      </c>
      <c r="F192" s="2">
        <f>(C192 / $J$5)^3</f>
        <v/>
      </c>
      <c r="G192" s="2">
        <f>(C192 / $J$5)^4</f>
        <v/>
      </c>
    </row>
    <row r="193">
      <c r="A193" s="7" t="inlineStr">
        <is>
          <t>2026-03-02</t>
        </is>
      </c>
      <c r="B193" s="2" t="n">
        <v>0.113032191991806</v>
      </c>
      <c r="C193" s="2">
        <f>B193 - $J$3</f>
        <v/>
      </c>
      <c r="D193" s="2">
        <f>C193^2</f>
        <v/>
      </c>
      <c r="E193" s="2">
        <f>C193^3</f>
        <v/>
      </c>
      <c r="F193" s="2">
        <f>(C193 / $J$5)^3</f>
        <v/>
      </c>
      <c r="G193" s="2">
        <f>(C193 / $J$5)^4</f>
        <v/>
      </c>
    </row>
    <row r="194">
      <c r="A194" s="7" t="inlineStr">
        <is>
          <t>2026-03-03</t>
        </is>
      </c>
      <c r="B194" s="2" t="n">
        <v>0.1170027181506156</v>
      </c>
      <c r="C194" s="2">
        <f>B194 - $J$3</f>
        <v/>
      </c>
      <c r="D194" s="2">
        <f>C194^2</f>
        <v/>
      </c>
      <c r="E194" s="2">
        <f>C194^3</f>
        <v/>
      </c>
      <c r="F194" s="2">
        <f>(C194 / $J$5)^3</f>
        <v/>
      </c>
      <c r="G194" s="2">
        <f>(C194 / $J$5)^4</f>
        <v/>
      </c>
    </row>
    <row r="195">
      <c r="A195" s="7" t="inlineStr">
        <is>
          <t>2026-03-04</t>
        </is>
      </c>
      <c r="B195" s="2" t="n">
        <v>0.1125809624791145</v>
      </c>
      <c r="C195" s="2">
        <f>B195 - $J$3</f>
        <v/>
      </c>
      <c r="D195" s="2">
        <f>C195^2</f>
        <v/>
      </c>
      <c r="E195" s="2">
        <f>C195^3</f>
        <v/>
      </c>
      <c r="F195" s="2">
        <f>(C195 / $J$5)^3</f>
        <v/>
      </c>
      <c r="G195" s="2">
        <f>(C195 / $J$5)^4</f>
        <v/>
      </c>
    </row>
    <row r="196">
      <c r="A196" s="7" t="inlineStr">
        <is>
          <t>2026-03-05</t>
        </is>
      </c>
      <c r="B196" s="2" t="n">
        <v>0.1167913228273391</v>
      </c>
      <c r="C196" s="2">
        <f>B196 - $J$3</f>
        <v/>
      </c>
      <c r="D196" s="2">
        <f>C196^2</f>
        <v/>
      </c>
      <c r="E196" s="2">
        <f>C196^3</f>
        <v/>
      </c>
      <c r="F196" s="2">
        <f>(C196 / $J$5)^3</f>
        <v/>
      </c>
      <c r="G196" s="2">
        <f>(C196 / $J$5)^4</f>
        <v/>
      </c>
    </row>
    <row r="197">
      <c r="A197" s="7" t="inlineStr">
        <is>
          <t>2026-03-06</t>
        </is>
      </c>
      <c r="B197" s="2" t="n">
        <v>0.1134053096175193</v>
      </c>
      <c r="C197" s="2">
        <f>B197 - $J$3</f>
        <v/>
      </c>
      <c r="D197" s="2">
        <f>C197^2</f>
        <v/>
      </c>
      <c r="E197" s="2">
        <f>C197^3</f>
        <v/>
      </c>
      <c r="F197" s="2">
        <f>(C197 / $J$5)^3</f>
        <v/>
      </c>
      <c r="G197" s="2">
        <f>(C197 / $J$5)^4</f>
        <v/>
      </c>
    </row>
    <row r="198">
      <c r="A198" s="7" t="inlineStr">
        <is>
          <t>2026-03-07</t>
        </is>
      </c>
      <c r="B198" s="2" t="n">
        <v>0.1128081902861595</v>
      </c>
      <c r="C198" s="2">
        <f>B198 - $J$3</f>
        <v/>
      </c>
      <c r="D198" s="2">
        <f>C198^2</f>
        <v/>
      </c>
      <c r="E198" s="2">
        <f>C198^3</f>
        <v/>
      </c>
      <c r="F198" s="2">
        <f>(C198 / $J$5)^3</f>
        <v/>
      </c>
      <c r="G198" s="2">
        <f>(C198 / $J$5)^4</f>
        <v/>
      </c>
    </row>
    <row r="199">
      <c r="A199" s="7" t="inlineStr">
        <is>
          <t>2026-03-08</t>
        </is>
      </c>
      <c r="B199" s="2" t="n">
        <v>0.1139918938279151</v>
      </c>
      <c r="C199" s="2">
        <f>B199 - $J$3</f>
        <v/>
      </c>
      <c r="D199" s="2">
        <f>C199^2</f>
        <v/>
      </c>
      <c r="E199" s="2">
        <f>C199^3</f>
        <v/>
      </c>
      <c r="F199" s="2">
        <f>(C199 / $J$5)^3</f>
        <v/>
      </c>
      <c r="G199" s="2">
        <f>(C199 / $J$5)^4</f>
        <v/>
      </c>
    </row>
    <row r="200">
      <c r="A200" s="7" t="inlineStr">
        <is>
          <t>2026-03-09</t>
        </is>
      </c>
      <c r="B200" s="2" t="n">
        <v>0.1102145537734031</v>
      </c>
      <c r="C200" s="2">
        <f>B200 - $J$3</f>
        <v/>
      </c>
      <c r="D200" s="2">
        <f>C200^2</f>
        <v/>
      </c>
      <c r="E200" s="2">
        <f>C200^3</f>
        <v/>
      </c>
      <c r="F200" s="2">
        <f>(C200 / $J$5)^3</f>
        <v/>
      </c>
      <c r="G200" s="2">
        <f>(C200 / $J$5)^4</f>
        <v/>
      </c>
    </row>
    <row r="201">
      <c r="A201" s="7" t="inlineStr">
        <is>
          <t>2026-03-10</t>
        </is>
      </c>
      <c r="B201" s="2" t="n">
        <v>0.1109368354082107</v>
      </c>
      <c r="C201" s="2">
        <f>B201 - $J$3</f>
        <v/>
      </c>
      <c r="D201" s="2">
        <f>C201^2</f>
        <v/>
      </c>
      <c r="E201" s="2">
        <f>C201^3</f>
        <v/>
      </c>
      <c r="F201" s="2">
        <f>(C201 / $J$5)^3</f>
        <v/>
      </c>
      <c r="G201" s="2">
        <f>(C201 / $J$5)^4</f>
        <v/>
      </c>
    </row>
    <row r="202">
      <c r="A202" s="7" t="inlineStr">
        <is>
          <t>2026-03-12</t>
        </is>
      </c>
      <c r="B202" s="2" t="n">
        <v>0.1131104454398155</v>
      </c>
      <c r="C202" s="2">
        <f>B202 - $J$3</f>
        <v/>
      </c>
      <c r="D202" s="2">
        <f>C202^2</f>
        <v/>
      </c>
      <c r="E202" s="2">
        <f>C202^3</f>
        <v/>
      </c>
      <c r="F202" s="2">
        <f>(C202 / $J$5)^3</f>
        <v/>
      </c>
      <c r="G202" s="2">
        <f>(C202 / $J$5)^4</f>
        <v/>
      </c>
    </row>
    <row r="203">
      <c r="A203" s="7" t="inlineStr">
        <is>
          <t>2026-03-13</t>
        </is>
      </c>
      <c r="B203" s="2" t="n">
        <v>0.1120976358652114</v>
      </c>
      <c r="C203" s="2">
        <f>B203 - $J$3</f>
        <v/>
      </c>
      <c r="D203" s="2">
        <f>C203^2</f>
        <v/>
      </c>
      <c r="E203" s="2">
        <f>C203^3</f>
        <v/>
      </c>
      <c r="F203" s="2">
        <f>(C203 / $J$5)^3</f>
        <v/>
      </c>
      <c r="G203" s="2">
        <f>(C203 / $J$5)^4</f>
        <v/>
      </c>
    </row>
    <row r="204">
      <c r="A204" s="7" t="inlineStr">
        <is>
          <t>2026-03-14</t>
        </is>
      </c>
      <c r="B204" s="2" t="n">
        <v>0.1168630272150039</v>
      </c>
      <c r="C204" s="2">
        <f>B204 - $J$3</f>
        <v/>
      </c>
      <c r="D204" s="2">
        <f>C204^2</f>
        <v/>
      </c>
      <c r="E204" s="2">
        <f>C204^3</f>
        <v/>
      </c>
      <c r="F204" s="2">
        <f>(C204 / $J$5)^3</f>
        <v/>
      </c>
      <c r="G204" s="2">
        <f>(C204 / $J$5)^4</f>
        <v/>
      </c>
    </row>
    <row r="205">
      <c r="A205" s="7" t="inlineStr">
        <is>
          <t>2026-03-15</t>
        </is>
      </c>
      <c r="B205" s="2" t="n">
        <v>0.1144006699323654</v>
      </c>
      <c r="C205" s="2">
        <f>B205 - $J$3</f>
        <v/>
      </c>
      <c r="D205" s="2">
        <f>C205^2</f>
        <v/>
      </c>
      <c r="E205" s="2">
        <f>C205^3</f>
        <v/>
      </c>
      <c r="F205" s="2">
        <f>(C205 / $J$5)^3</f>
        <v/>
      </c>
      <c r="G205" s="2">
        <f>(C205 / $J$5)^4</f>
        <v/>
      </c>
    </row>
    <row r="206">
      <c r="A206" s="7" t="inlineStr">
        <is>
          <t>2026-03-16</t>
        </is>
      </c>
      <c r="B206" s="2" t="n">
        <v>0.114824041724205</v>
      </c>
      <c r="C206" s="2">
        <f>B206 - $J$3</f>
        <v/>
      </c>
      <c r="D206" s="2">
        <f>C206^2</f>
        <v/>
      </c>
      <c r="E206" s="2">
        <f>C206^3</f>
        <v/>
      </c>
      <c r="F206" s="2">
        <f>(C206 / $J$5)^3</f>
        <v/>
      </c>
      <c r="G206" s="2">
        <f>(C206 / $J$5)^4</f>
        <v/>
      </c>
    </row>
    <row r="207">
      <c r="A207" s="7" t="inlineStr">
        <is>
          <t>2026-03-17</t>
        </is>
      </c>
      <c r="B207" s="2" t="n">
        <v>0.1180155277252197</v>
      </c>
      <c r="C207" s="2">
        <f>B207 - $J$3</f>
        <v/>
      </c>
      <c r="D207" s="2">
        <f>C207^2</f>
        <v/>
      </c>
      <c r="E207" s="2">
        <f>C207^3</f>
        <v/>
      </c>
      <c r="F207" s="2">
        <f>(C207 / $J$5)^3</f>
        <v/>
      </c>
      <c r="G207" s="2">
        <f>(C207 / $J$5)^4</f>
        <v/>
      </c>
    </row>
    <row r="208">
      <c r="A208" s="7" t="inlineStr">
        <is>
          <t>2026-03-18</t>
        </is>
      </c>
      <c r="B208" s="2" t="n">
        <v>0.1203360706567764</v>
      </c>
      <c r="C208" s="2">
        <f>B208 - $J$3</f>
        <v/>
      </c>
      <c r="D208" s="2">
        <f>C208^2</f>
        <v/>
      </c>
      <c r="E208" s="2">
        <f>C208^3</f>
        <v/>
      </c>
      <c r="F208" s="2">
        <f>(C208 / $J$5)^3</f>
        <v/>
      </c>
      <c r="G208" s="2">
        <f>(C208 / $J$5)^4</f>
        <v/>
      </c>
    </row>
    <row r="209">
      <c r="A209" s="7" t="inlineStr">
        <is>
          <t>2026-03-19</t>
        </is>
      </c>
      <c r="B209" s="2" t="n">
        <v>0.1152367070317268</v>
      </c>
      <c r="C209" s="2">
        <f>B209 - $J$3</f>
        <v/>
      </c>
      <c r="D209" s="2">
        <f>C209^2</f>
        <v/>
      </c>
      <c r="E209" s="2">
        <f>C209^3</f>
        <v/>
      </c>
      <c r="F209" s="2">
        <f>(C209 / $J$5)^3</f>
        <v/>
      </c>
      <c r="G209" s="2">
        <f>(C209 / $J$5)^4</f>
        <v/>
      </c>
    </row>
    <row r="210">
      <c r="A210" s="7" t="inlineStr">
        <is>
          <t>2026-03-21</t>
        </is>
      </c>
      <c r="B210" s="2" t="n">
        <v>0.1154131293296814</v>
      </c>
      <c r="C210" s="2">
        <f>B210 - $J$3</f>
        <v/>
      </c>
      <c r="D210" s="2">
        <f>C210^2</f>
        <v/>
      </c>
      <c r="E210" s="2">
        <f>C210^3</f>
        <v/>
      </c>
      <c r="F210" s="2">
        <f>(C210 / $J$5)^3</f>
        <v/>
      </c>
      <c r="G210" s="2">
        <f>(C210 / $J$5)^4</f>
        <v/>
      </c>
    </row>
    <row r="211">
      <c r="A211" s="7" t="inlineStr">
        <is>
          <t>2026-03-22</t>
        </is>
      </c>
      <c r="B211" s="2" t="n">
        <v>0.1172307729721069</v>
      </c>
      <c r="C211" s="2">
        <f>B211 - $J$3</f>
        <v/>
      </c>
      <c r="D211" s="2">
        <f>C211^2</f>
        <v/>
      </c>
      <c r="E211" s="2">
        <f>C211^3</f>
        <v/>
      </c>
      <c r="F211" s="2">
        <f>(C211 / $J$5)^3</f>
        <v/>
      </c>
      <c r="G211" s="2">
        <f>(C211 / $J$5)^4</f>
        <v/>
      </c>
    </row>
    <row r="212">
      <c r="A212" s="7" t="inlineStr">
        <is>
          <t>2026-03-23</t>
        </is>
      </c>
      <c r="B212" s="2" t="n">
        <v>0.1153594776988029</v>
      </c>
      <c r="C212" s="2">
        <f>B212 - $J$3</f>
        <v/>
      </c>
      <c r="D212" s="2">
        <f>C212^2</f>
        <v/>
      </c>
      <c r="E212" s="2">
        <f>C212^3</f>
        <v/>
      </c>
      <c r="F212" s="2">
        <f>(C212 / $J$5)^3</f>
        <v/>
      </c>
      <c r="G212" s="2">
        <f>(C212 / $J$5)^4</f>
        <v/>
      </c>
    </row>
    <row r="213">
      <c r="A213" s="7" t="inlineStr">
        <is>
          <t>2026-03-24</t>
        </is>
      </c>
      <c r="B213" s="2" t="n">
        <v>0.1182519495487213</v>
      </c>
      <c r="C213" s="2">
        <f>B213 - $J$3</f>
        <v/>
      </c>
      <c r="D213" s="2">
        <f>C213^2</f>
        <v/>
      </c>
      <c r="E213" s="2">
        <f>C213^3</f>
        <v/>
      </c>
      <c r="F213" s="2">
        <f>(C213 / $J$5)^3</f>
        <v/>
      </c>
      <c r="G213" s="2">
        <f>(C213 / $J$5)^4</f>
        <v/>
      </c>
    </row>
    <row r="214">
      <c r="A214" s="7" t="inlineStr">
        <is>
          <t>2026-03-25</t>
        </is>
      </c>
      <c r="B214" s="2" t="n">
        <v>0.1142235919833183</v>
      </c>
      <c r="C214" s="2">
        <f>B214 - $J$3</f>
        <v/>
      </c>
      <c r="D214" s="2">
        <f>C214^2</f>
        <v/>
      </c>
      <c r="E214" s="2">
        <f>C214^3</f>
        <v/>
      </c>
      <c r="F214" s="2">
        <f>(C214 / $J$5)^3</f>
        <v/>
      </c>
      <c r="G214" s="2">
        <f>(C214 / $J$5)^4</f>
        <v/>
      </c>
    </row>
    <row r="215">
      <c r="A215" s="7" t="inlineStr">
        <is>
          <t>2026-03-26</t>
        </is>
      </c>
      <c r="B215" s="2" t="n">
        <v>0.118592731654644</v>
      </c>
      <c r="C215" s="2">
        <f>B215 - $J$3</f>
        <v/>
      </c>
      <c r="D215" s="2">
        <f>C215^2</f>
        <v/>
      </c>
      <c r="E215" s="2">
        <f>C215^3</f>
        <v/>
      </c>
      <c r="F215" s="2">
        <f>(C215 / $J$5)^3</f>
        <v/>
      </c>
      <c r="G215" s="2">
        <f>(C215 / $J$5)^4</f>
        <v/>
      </c>
    </row>
    <row r="216">
      <c r="A216" s="7" t="inlineStr">
        <is>
          <t>2026-03-27</t>
        </is>
      </c>
      <c r="B216" s="2" t="n">
        <v>0.1126628294587135</v>
      </c>
      <c r="C216" s="2">
        <f>B216 - $J$3</f>
        <v/>
      </c>
      <c r="D216" s="2">
        <f>C216^2</f>
        <v/>
      </c>
      <c r="E216" s="2">
        <f>C216^3</f>
        <v/>
      </c>
      <c r="F216" s="2">
        <f>(C216 / $J$5)^3</f>
        <v/>
      </c>
      <c r="G216" s="2">
        <f>(C216 / $J$5)^4</f>
        <v/>
      </c>
    </row>
    <row r="217">
      <c r="A217" s="7" t="inlineStr">
        <is>
          <t>2026-03-28</t>
        </is>
      </c>
      <c r="B217" s="2" t="n">
        <v>0.1150384098291397</v>
      </c>
      <c r="C217" s="2">
        <f>B217 - $J$3</f>
        <v/>
      </c>
      <c r="D217" s="2">
        <f>C217^2</f>
        <v/>
      </c>
      <c r="E217" s="2">
        <f>C217^3</f>
        <v/>
      </c>
      <c r="F217" s="2">
        <f>(C217 / $J$5)^3</f>
        <v/>
      </c>
      <c r="G217" s="2">
        <f>(C217 / $J$5)^4</f>
        <v/>
      </c>
    </row>
    <row r="218">
      <c r="A218" s="7" t="inlineStr">
        <is>
          <t>2026-03-29</t>
        </is>
      </c>
      <c r="B218" s="2" t="n">
        <v>0.1155763119459152</v>
      </c>
      <c r="C218" s="2">
        <f>B218 - $J$3</f>
        <v/>
      </c>
      <c r="D218" s="2">
        <f>C218^2</f>
        <v/>
      </c>
      <c r="E218" s="2">
        <f>C218^3</f>
        <v/>
      </c>
      <c r="F218" s="2">
        <f>(C218 / $J$5)^3</f>
        <v/>
      </c>
      <c r="G218" s="2">
        <f>(C218 / $J$5)^4</f>
        <v/>
      </c>
    </row>
    <row r="219">
      <c r="A219" s="7" t="inlineStr">
        <is>
          <t>2026-03-30</t>
        </is>
      </c>
      <c r="B219" s="2" t="n">
        <v>0.1179119572043418</v>
      </c>
      <c r="C219" s="2">
        <f>B219 - $J$3</f>
        <v/>
      </c>
      <c r="D219" s="2">
        <f>C219^2</f>
        <v/>
      </c>
      <c r="E219" s="2">
        <f>C219^3</f>
        <v/>
      </c>
      <c r="F219" s="2">
        <f>(C219 / $J$5)^3</f>
        <v/>
      </c>
      <c r="G219" s="2">
        <f>(C219 / $J$5)^4</f>
        <v/>
      </c>
    </row>
    <row r="220">
      <c r="A220" s="7" t="inlineStr">
        <is>
          <t>2026-04-01</t>
        </is>
      </c>
      <c r="B220" s="2" t="n">
        <v>0.1160362064838409</v>
      </c>
      <c r="C220" s="2">
        <f>B220 - $J$3</f>
        <v/>
      </c>
      <c r="D220" s="2">
        <f>C220^2</f>
        <v/>
      </c>
      <c r="E220" s="2">
        <f>C220^3</f>
        <v/>
      </c>
      <c r="F220" s="2">
        <f>(C220 / $J$5)^3</f>
        <v/>
      </c>
      <c r="G220" s="2">
        <f>(C220 / $J$5)^4</f>
        <v/>
      </c>
    </row>
    <row r="221">
      <c r="A221" s="7" t="inlineStr">
        <is>
          <t>2026-04-02</t>
        </is>
      </c>
      <c r="B221" s="2" t="n">
        <v>0.1203831285238266</v>
      </c>
      <c r="C221" s="2">
        <f>B221 - $J$3</f>
        <v/>
      </c>
      <c r="D221" s="2">
        <f>C221^2</f>
        <v/>
      </c>
      <c r="E221" s="2">
        <f>C221^3</f>
        <v/>
      </c>
      <c r="F221" s="2">
        <f>(C221 / $J$5)^3</f>
        <v/>
      </c>
      <c r="G221" s="2">
        <f>(C221 / $J$5)^4</f>
        <v/>
      </c>
    </row>
    <row r="222">
      <c r="A222" s="7" t="inlineStr">
        <is>
          <t>2026-04-03</t>
        </is>
      </c>
      <c r="B222" s="2" t="n">
        <v>0.1141281947493553</v>
      </c>
      <c r="C222" s="2">
        <f>B222 - $J$3</f>
        <v/>
      </c>
      <c r="D222" s="2">
        <f>C222^2</f>
        <v/>
      </c>
      <c r="E222" s="2">
        <f>C222^3</f>
        <v/>
      </c>
      <c r="F222" s="2">
        <f>(C222 / $J$5)^3</f>
        <v/>
      </c>
      <c r="G222" s="2">
        <f>(C222 / $J$5)^4</f>
        <v/>
      </c>
    </row>
    <row r="223">
      <c r="A223" s="7" t="inlineStr">
        <is>
          <t>2026-04-05</t>
        </is>
      </c>
      <c r="B223" s="2" t="n">
        <v>0.1186567544937133</v>
      </c>
      <c r="C223" s="2">
        <f>B223 - $J$3</f>
        <v/>
      </c>
      <c r="D223" s="2">
        <f>C223^2</f>
        <v/>
      </c>
      <c r="E223" s="2">
        <f>C223^3</f>
        <v/>
      </c>
      <c r="F223" s="2">
        <f>(C223 / $J$5)^3</f>
        <v/>
      </c>
      <c r="G223" s="2">
        <f>(C223 / $J$5)^4</f>
        <v/>
      </c>
    </row>
    <row r="224">
      <c r="A224" s="7" t="inlineStr">
        <is>
          <t>2026-04-06</t>
        </is>
      </c>
      <c r="B224" s="2" t="n">
        <v>0.114726647734642</v>
      </c>
      <c r="C224" s="2">
        <f>B224 - $J$3</f>
        <v/>
      </c>
      <c r="D224" s="2">
        <f>C224^2</f>
        <v/>
      </c>
      <c r="E224" s="2">
        <f>C224^3</f>
        <v/>
      </c>
      <c r="F224" s="2">
        <f>(C224 / $J$5)^3</f>
        <v/>
      </c>
      <c r="G224" s="2">
        <f>(C224 / $J$5)^4</f>
        <v/>
      </c>
    </row>
    <row r="225">
      <c r="A225" s="7" t="inlineStr">
        <is>
          <t>2026-04-07</t>
        </is>
      </c>
      <c r="B225" s="2" t="n">
        <v>0.1139935776591301</v>
      </c>
      <c r="C225" s="2">
        <f>B225 - $J$3</f>
        <v/>
      </c>
      <c r="D225" s="2">
        <f>C225^2</f>
        <v/>
      </c>
      <c r="E225" s="2">
        <f>C225^3</f>
        <v/>
      </c>
      <c r="F225" s="2">
        <f>(C225 / $J$5)^3</f>
        <v/>
      </c>
      <c r="G225" s="2">
        <f>(C225 / $J$5)^4</f>
        <v/>
      </c>
    </row>
    <row r="226">
      <c r="A226" s="7" t="inlineStr">
        <is>
          <t>2026-04-08</t>
        </is>
      </c>
      <c r="B226" s="2" t="n">
        <v>0.1154590472579002</v>
      </c>
      <c r="C226" s="2">
        <f>B226 - $J$3</f>
        <v/>
      </c>
      <c r="D226" s="2">
        <f>C226^2</f>
        <v/>
      </c>
      <c r="E226" s="2">
        <f>C226^3</f>
        <v/>
      </c>
      <c r="F226" s="2">
        <f>(C226 / $J$5)^3</f>
        <v/>
      </c>
      <c r="G226" s="2">
        <f>(C226 / $J$5)^4</f>
        <v/>
      </c>
    </row>
    <row r="227">
      <c r="A227" s="7" t="inlineStr">
        <is>
          <t>2026-04-09</t>
        </is>
      </c>
      <c r="B227" s="2" t="n">
        <v>0.1189417093992233</v>
      </c>
      <c r="C227" s="2">
        <f>B227 - $J$3</f>
        <v/>
      </c>
      <c r="D227" s="2">
        <f>C227^2</f>
        <v/>
      </c>
      <c r="E227" s="2">
        <f>C227^3</f>
        <v/>
      </c>
      <c r="F227" s="2">
        <f>(C227 / $J$5)^3</f>
        <v/>
      </c>
      <c r="G227" s="2">
        <f>(C227 / $J$5)^4</f>
        <v/>
      </c>
    </row>
    <row r="228">
      <c r="A228" s="7" t="inlineStr">
        <is>
          <t>2026-04-10</t>
        </is>
      </c>
      <c r="B228" s="2" t="n">
        <v>0.115835316479206</v>
      </c>
      <c r="C228" s="2">
        <f>B228 - $J$3</f>
        <v/>
      </c>
      <c r="D228" s="2">
        <f>C228^2</f>
        <v/>
      </c>
      <c r="E228" s="2">
        <f>C228^3</f>
        <v/>
      </c>
      <c r="F228" s="2">
        <f>(C228 / $J$5)^3</f>
        <v/>
      </c>
      <c r="G228" s="2">
        <f>(C228 / $J$5)^4</f>
        <v/>
      </c>
    </row>
    <row r="229">
      <c r="A229" s="7" t="inlineStr">
        <is>
          <t>2026-04-11</t>
        </is>
      </c>
      <c r="B229" s="2" t="n">
        <v>0.1148310601711273</v>
      </c>
      <c r="C229" s="2">
        <f>B229 - $J$3</f>
        <v/>
      </c>
      <c r="D229" s="2">
        <f>C229^2</f>
        <v/>
      </c>
      <c r="E229" s="2">
        <f>C229^3</f>
        <v/>
      </c>
      <c r="F229" s="2">
        <f>(C229 / $J$5)^3</f>
        <v/>
      </c>
      <c r="G229" s="2">
        <f>(C229 / $J$5)^4</f>
        <v/>
      </c>
    </row>
    <row r="230">
      <c r="A230" s="7" t="inlineStr">
        <is>
          <t>2026-04-12</t>
        </is>
      </c>
      <c r="B230" s="2" t="n">
        <v>0.1149461939930915</v>
      </c>
      <c r="C230" s="2">
        <f>B230 - $J$3</f>
        <v/>
      </c>
      <c r="D230" s="2">
        <f>C230^2</f>
        <v/>
      </c>
      <c r="E230" s="2">
        <f>C230^3</f>
        <v/>
      </c>
      <c r="F230" s="2">
        <f>(C230 / $J$5)^3</f>
        <v/>
      </c>
      <c r="G230" s="2">
        <f>(C230 / $J$5)^4</f>
        <v/>
      </c>
    </row>
    <row r="231">
      <c r="A231" s="7" t="inlineStr">
        <is>
          <t>2026-04-13</t>
        </is>
      </c>
      <c r="B231" s="2" t="n">
        <v>0.1145892664790153</v>
      </c>
      <c r="C231" s="2">
        <f>B231 - $J$3</f>
        <v/>
      </c>
      <c r="D231" s="2">
        <f>C231^2</f>
        <v/>
      </c>
      <c r="E231" s="2">
        <f>C231^3</f>
        <v/>
      </c>
      <c r="F231" s="2">
        <f>(C231 / $J$5)^3</f>
        <v/>
      </c>
      <c r="G231" s="2">
        <f>(C231 / $J$5)^4</f>
        <v/>
      </c>
    </row>
    <row r="232">
      <c r="A232" s="7" t="inlineStr">
        <is>
          <t>2026-04-14</t>
        </is>
      </c>
      <c r="B232" s="2" t="n">
        <v>0.1146867424249649</v>
      </c>
      <c r="C232" s="2">
        <f>B232 - $J$3</f>
        <v/>
      </c>
      <c r="D232" s="2">
        <f>C232^2</f>
        <v/>
      </c>
      <c r="E232" s="2">
        <f>C232^3</f>
        <v/>
      </c>
      <c r="F232" s="2">
        <f>(C232 / $J$5)^3</f>
        <v/>
      </c>
      <c r="G232" s="2">
        <f>(C232 / $J$5)^4</f>
        <v/>
      </c>
    </row>
    <row r="233">
      <c r="A233" s="7" t="inlineStr">
        <is>
          <t>2026-04-15</t>
        </is>
      </c>
      <c r="B233" s="2" t="n">
        <v>0.1131160259246826</v>
      </c>
      <c r="C233" s="2">
        <f>B233 - $J$3</f>
        <v/>
      </c>
      <c r="D233" s="2">
        <f>C233^2</f>
        <v/>
      </c>
      <c r="E233" s="2">
        <f>C233^3</f>
        <v/>
      </c>
      <c r="F233" s="2">
        <f>(C233 / $J$5)^3</f>
        <v/>
      </c>
      <c r="G233" s="2">
        <f>(C233 / $J$5)^4</f>
        <v/>
      </c>
    </row>
    <row r="234">
      <c r="A234" s="7" t="inlineStr">
        <is>
          <t>2026-04-17</t>
        </is>
      </c>
      <c r="B234" s="2" t="n">
        <v>0.119534283876419</v>
      </c>
      <c r="C234" s="2">
        <f>B234 - $J$3</f>
        <v/>
      </c>
      <c r="D234" s="2">
        <f>C234^2</f>
        <v/>
      </c>
      <c r="E234" s="2">
        <f>C234^3</f>
        <v/>
      </c>
      <c r="F234" s="2">
        <f>(C234 / $J$5)^3</f>
        <v/>
      </c>
      <c r="G234" s="2">
        <f>(C234 / $J$5)^4</f>
        <v/>
      </c>
    </row>
    <row r="235">
      <c r="A235" s="7" t="inlineStr">
        <is>
          <t>2026-04-18</t>
        </is>
      </c>
      <c r="B235" s="2" t="n">
        <v>0.1179681792855262</v>
      </c>
      <c r="C235" s="2">
        <f>B235 - $J$3</f>
        <v/>
      </c>
      <c r="D235" s="2">
        <f>C235^2</f>
        <v/>
      </c>
      <c r="E235" s="2">
        <f>C235^3</f>
        <v/>
      </c>
      <c r="F235" s="2">
        <f>(C235 / $J$5)^3</f>
        <v/>
      </c>
      <c r="G235" s="2">
        <f>(C235 / $J$5)^4</f>
        <v/>
      </c>
    </row>
    <row r="236">
      <c r="A236" s="7" t="inlineStr">
        <is>
          <t>2026-04-19</t>
        </is>
      </c>
      <c r="B236" s="2" t="n">
        <v>0.1145387813448906</v>
      </c>
      <c r="C236" s="2">
        <f>B236 - $J$3</f>
        <v/>
      </c>
      <c r="D236" s="2">
        <f>C236^2</f>
        <v/>
      </c>
      <c r="E236" s="2">
        <f>C236^3</f>
        <v/>
      </c>
      <c r="F236" s="2">
        <f>(C236 / $J$5)^3</f>
        <v/>
      </c>
      <c r="G236" s="2">
        <f>(C236 / $J$5)^4</f>
        <v/>
      </c>
    </row>
    <row r="237">
      <c r="A237" s="7" t="inlineStr">
        <is>
          <t>2026-04-20</t>
        </is>
      </c>
      <c r="B237" s="2" t="n">
        <v>0.1161193698644638</v>
      </c>
      <c r="C237" s="2">
        <f>B237 - $J$3</f>
        <v/>
      </c>
      <c r="D237" s="2">
        <f>C237^2</f>
        <v/>
      </c>
      <c r="E237" s="2">
        <f>C237^3</f>
        <v/>
      </c>
      <c r="F237" s="2">
        <f>(C237 / $J$5)^3</f>
        <v/>
      </c>
      <c r="G237" s="2">
        <f>(C237 / $J$5)^4</f>
        <v/>
      </c>
    </row>
    <row r="238">
      <c r="A238" s="7" t="inlineStr">
        <is>
          <t>2026-04-21</t>
        </is>
      </c>
      <c r="B238" s="2" t="n">
        <v>0.1131413727998733</v>
      </c>
      <c r="C238" s="2">
        <f>B238 - $J$3</f>
        <v/>
      </c>
      <c r="D238" s="2">
        <f>C238^2</f>
        <v/>
      </c>
      <c r="E238" s="2">
        <f>C238^3</f>
        <v/>
      </c>
      <c r="F238" s="2">
        <f>(C238 / $J$5)^3</f>
        <v/>
      </c>
      <c r="G238" s="2">
        <f>(C238 / $J$5)^4</f>
        <v/>
      </c>
    </row>
    <row r="239">
      <c r="A239" s="7" t="inlineStr">
        <is>
          <t>2026-04-22</t>
        </is>
      </c>
      <c r="B239" s="2" t="n">
        <v>0.1188992336392402</v>
      </c>
      <c r="C239" s="2">
        <f>B239 - $J$3</f>
        <v/>
      </c>
      <c r="D239" s="2">
        <f>C239^2</f>
        <v/>
      </c>
      <c r="E239" s="2">
        <f>C239^3</f>
        <v/>
      </c>
      <c r="F239" s="2">
        <f>(C239 / $J$5)^3</f>
        <v/>
      </c>
      <c r="G239" s="2">
        <f>(C239 / $J$5)^4</f>
        <v/>
      </c>
    </row>
    <row r="240">
      <c r="A240" s="7" t="inlineStr">
        <is>
          <t>2026-04-23</t>
        </is>
      </c>
      <c r="B240" s="2" t="n">
        <v>0.1168654710054397</v>
      </c>
      <c r="C240" s="2">
        <f>B240 - $J$3</f>
        <v/>
      </c>
      <c r="D240" s="2">
        <f>C240^2</f>
        <v/>
      </c>
      <c r="E240" s="2">
        <f>C240^3</f>
        <v/>
      </c>
      <c r="F240" s="2">
        <f>(C240 / $J$5)^3</f>
        <v/>
      </c>
      <c r="G240" s="2">
        <f>(C240 / $J$5)^4</f>
        <v/>
      </c>
    </row>
    <row r="241">
      <c r="A241" s="7" t="inlineStr">
        <is>
          <t>2026-04-24</t>
        </is>
      </c>
      <c r="B241" s="2" t="n">
        <v>0.117828331887722</v>
      </c>
      <c r="C241" s="2">
        <f>B241 - $J$3</f>
        <v/>
      </c>
      <c r="D241" s="2">
        <f>C241^2</f>
        <v/>
      </c>
      <c r="E241" s="2">
        <f>C241^3</f>
        <v/>
      </c>
      <c r="F241" s="2">
        <f>(C241 / $J$5)^3</f>
        <v/>
      </c>
      <c r="G241" s="2">
        <f>(C241 / $J$5)^4</f>
        <v/>
      </c>
    </row>
    <row r="242">
      <c r="A242" s="7" t="inlineStr">
        <is>
          <t>2026-04-25</t>
        </is>
      </c>
      <c r="B242" s="2" t="n">
        <v>0.1160937920212745</v>
      </c>
      <c r="C242" s="2">
        <f>B242 - $J$3</f>
        <v/>
      </c>
      <c r="D242" s="2">
        <f>C242^2</f>
        <v/>
      </c>
      <c r="E242" s="2">
        <f>C242^3</f>
        <v/>
      </c>
      <c r="F242" s="2">
        <f>(C242 / $J$5)^3</f>
        <v/>
      </c>
      <c r="G242" s="2">
        <f>(C242 / $J$5)^4</f>
        <v/>
      </c>
    </row>
    <row r="243">
      <c r="A243" s="7" t="inlineStr">
        <is>
          <t>2026-04-26</t>
        </is>
      </c>
      <c r="B243" s="2" t="n">
        <v>0.1154454201459884</v>
      </c>
      <c r="C243" s="2">
        <f>B243 - $J$3</f>
        <v/>
      </c>
      <c r="D243" s="2">
        <f>C243^2</f>
        <v/>
      </c>
      <c r="E243" s="2">
        <f>C243^3</f>
        <v/>
      </c>
      <c r="F243" s="2">
        <f>(C243 / $J$5)^3</f>
        <v/>
      </c>
      <c r="G243" s="2">
        <f>(C243 / $J$5)^4</f>
        <v/>
      </c>
    </row>
    <row r="244">
      <c r="A244" s="7" t="inlineStr">
        <is>
          <t>2026-04-27</t>
        </is>
      </c>
      <c r="B244" s="2" t="n">
        <v>0.1165714263916015</v>
      </c>
      <c r="C244" s="2">
        <f>B244 - $J$3</f>
        <v/>
      </c>
      <c r="D244" s="2">
        <f>C244^2</f>
        <v/>
      </c>
      <c r="E244" s="2">
        <f>C244^3</f>
        <v/>
      </c>
      <c r="F244" s="2">
        <f>(C244 / $J$5)^3</f>
        <v/>
      </c>
      <c r="G244" s="2">
        <f>(C244 / $J$5)^4</f>
        <v/>
      </c>
    </row>
    <row r="245">
      <c r="A245" s="7" t="inlineStr">
        <is>
          <t>2026-04-28</t>
        </is>
      </c>
      <c r="B245" s="2" t="n">
        <v>0.1156196668744087</v>
      </c>
      <c r="C245" s="2">
        <f>B245 - $J$3</f>
        <v/>
      </c>
      <c r="D245" s="2">
        <f>C245^2</f>
        <v/>
      </c>
      <c r="E245" s="2">
        <f>C245^3</f>
        <v/>
      </c>
      <c r="F245" s="2">
        <f>(C245 / $J$5)^3</f>
        <v/>
      </c>
      <c r="G245" s="2">
        <f>(C245 / $J$5)^4</f>
        <v/>
      </c>
    </row>
    <row r="246">
      <c r="A246" s="7" t="inlineStr">
        <is>
          <t>2026-04-29</t>
        </is>
      </c>
      <c r="B246" s="2" t="n">
        <v>0.1152943298220634</v>
      </c>
      <c r="C246" s="2">
        <f>B246 - $J$3</f>
        <v/>
      </c>
      <c r="D246" s="2">
        <f>C246^2</f>
        <v/>
      </c>
      <c r="E246" s="2">
        <f>C246^3</f>
        <v/>
      </c>
      <c r="F246" s="2">
        <f>(C246 / $J$5)^3</f>
        <v/>
      </c>
      <c r="G246" s="2">
        <f>(C246 / $J$5)^4</f>
        <v/>
      </c>
    </row>
    <row r="247">
      <c r="A247" s="7" t="inlineStr">
        <is>
          <t>2026-04-30</t>
        </is>
      </c>
      <c r="B247" s="2" t="n">
        <v>0.1153966933488845</v>
      </c>
      <c r="C247" s="2">
        <f>B247 - $J$3</f>
        <v/>
      </c>
      <c r="D247" s="2">
        <f>C247^2</f>
        <v/>
      </c>
      <c r="E247" s="2">
        <f>C247^3</f>
        <v/>
      </c>
      <c r="F247" s="2">
        <f>(C247 / $J$5)^3</f>
        <v/>
      </c>
      <c r="G247" s="2">
        <f>(C247 / $J$5)^4</f>
        <v/>
      </c>
    </row>
    <row r="248">
      <c r="A248" s="7" t="inlineStr">
        <is>
          <t>2026-05-01</t>
        </is>
      </c>
      <c r="B248" s="2" t="n">
        <v>0.1122484877705574</v>
      </c>
      <c r="C248" s="2">
        <f>B248 - $J$3</f>
        <v/>
      </c>
      <c r="D248" s="2">
        <f>C248^2</f>
        <v/>
      </c>
      <c r="E248" s="2">
        <f>C248^3</f>
        <v/>
      </c>
      <c r="F248" s="2">
        <f>(C248 / $J$5)^3</f>
        <v/>
      </c>
      <c r="G248" s="2">
        <f>(C248 / $J$5)^4</f>
        <v/>
      </c>
    </row>
    <row r="249">
      <c r="A249" s="7" t="inlineStr">
        <is>
          <t>2026-05-02</t>
        </is>
      </c>
      <c r="B249" s="2" t="n">
        <v>0.1154968366026878</v>
      </c>
      <c r="C249" s="2">
        <f>B249 - $J$3</f>
        <v/>
      </c>
      <c r="D249" s="2">
        <f>C249^2</f>
        <v/>
      </c>
      <c r="E249" s="2">
        <f>C249^3</f>
        <v/>
      </c>
      <c r="F249" s="2">
        <f>(C249 / $J$5)^3</f>
        <v/>
      </c>
      <c r="G249" s="2">
        <f>(C249 / $J$5)^4</f>
        <v/>
      </c>
    </row>
    <row r="250">
      <c r="A250" s="7" t="inlineStr">
        <is>
          <t>2026-05-03</t>
        </is>
      </c>
      <c r="B250" s="2" t="n">
        <v>0.116994634270668</v>
      </c>
      <c r="C250" s="2">
        <f>B250 - $J$3</f>
        <v/>
      </c>
      <c r="D250" s="2">
        <f>C250^2</f>
        <v/>
      </c>
      <c r="E250" s="2">
        <f>C250^3</f>
        <v/>
      </c>
      <c r="F250" s="2">
        <f>(C250 / $J$5)^3</f>
        <v/>
      </c>
      <c r="G250" s="2">
        <f>(C250 / $J$5)^4</f>
        <v/>
      </c>
    </row>
    <row r="251">
      <c r="A251" s="7" t="inlineStr">
        <is>
          <t>2026-05-04</t>
        </is>
      </c>
      <c r="B251" s="2" t="n">
        <v>0.1189890727400779</v>
      </c>
      <c r="C251" s="2">
        <f>B251 - $J$3</f>
        <v/>
      </c>
      <c r="D251" s="2">
        <f>C251^2</f>
        <v/>
      </c>
      <c r="E251" s="2">
        <f>C251^3</f>
        <v/>
      </c>
      <c r="F251" s="2">
        <f>(C251 / $J$5)^3</f>
        <v/>
      </c>
      <c r="G251" s="2">
        <f>(C251 / $J$5)^4</f>
        <v/>
      </c>
    </row>
    <row r="252">
      <c r="A252" s="7" t="inlineStr">
        <is>
          <t>2026-05-05</t>
        </is>
      </c>
      <c r="B252" s="2" t="n">
        <v>0.1161943450570106</v>
      </c>
      <c r="C252" s="2">
        <f>B252 - $J$3</f>
        <v/>
      </c>
      <c r="D252" s="2">
        <f>C252^2</f>
        <v/>
      </c>
      <c r="E252" s="2">
        <f>C252^3</f>
        <v/>
      </c>
      <c r="F252" s="2">
        <f>(C252 / $J$5)^3</f>
        <v/>
      </c>
      <c r="G252" s="2">
        <f>(C252 / $J$5)^4</f>
        <v/>
      </c>
    </row>
    <row r="253">
      <c r="A253" s="7" t="inlineStr">
        <is>
          <t>2026-05-06</t>
        </is>
      </c>
      <c r="B253" s="2" t="n">
        <v>0.1173157393932342</v>
      </c>
      <c r="C253" s="2">
        <f>B253 - $J$3</f>
        <v/>
      </c>
      <c r="D253" s="2">
        <f>C253^2</f>
        <v/>
      </c>
      <c r="E253" s="2">
        <f>C253^3</f>
        <v/>
      </c>
      <c r="F253" s="2">
        <f>(C253 / $J$5)^3</f>
        <v/>
      </c>
      <c r="G253" s="2">
        <f>(C253 / $J$5)^4</f>
        <v/>
      </c>
    </row>
    <row r="254">
      <c r="A254" s="7" t="inlineStr">
        <is>
          <t>2026-05-07</t>
        </is>
      </c>
      <c r="B254" s="2" t="n">
        <v>0.1139137372374534</v>
      </c>
      <c r="C254" s="2">
        <f>B254 - $J$3</f>
        <v/>
      </c>
      <c r="D254" s="2">
        <f>C254^2</f>
        <v/>
      </c>
      <c r="E254" s="2">
        <f>C254^3</f>
        <v/>
      </c>
      <c r="F254" s="2">
        <f>(C254 / $J$5)^3</f>
        <v/>
      </c>
      <c r="G254" s="2">
        <f>(C254 / $J$5)^4</f>
        <v/>
      </c>
    </row>
    <row r="255">
      <c r="A255" s="7" t="inlineStr">
        <is>
          <t>2026-05-08</t>
        </is>
      </c>
      <c r="B255" s="2" t="n">
        <v>0.1112611666321754</v>
      </c>
      <c r="C255" s="2">
        <f>B255 - $J$3</f>
        <v/>
      </c>
      <c r="D255" s="2">
        <f>C255^2</f>
        <v/>
      </c>
      <c r="E255" s="2">
        <f>C255^3</f>
        <v/>
      </c>
      <c r="F255" s="2">
        <f>(C255 / $J$5)^3</f>
        <v/>
      </c>
      <c r="G255" s="2">
        <f>(C255 / $J$5)^4</f>
        <v/>
      </c>
    </row>
    <row r="256">
      <c r="A256" s="7" t="inlineStr">
        <is>
          <t>2026-05-10</t>
        </is>
      </c>
      <c r="B256" s="2" t="n">
        <v>0.1181183084845542</v>
      </c>
      <c r="C256" s="2">
        <f>B256 - $J$3</f>
        <v/>
      </c>
      <c r="D256" s="2">
        <f>C256^2</f>
        <v/>
      </c>
      <c r="E256" s="2">
        <f>C256^3</f>
        <v/>
      </c>
      <c r="F256" s="2">
        <f>(C256 / $J$5)^3</f>
        <v/>
      </c>
      <c r="G256" s="2">
        <f>(C256 / $J$5)^4</f>
        <v/>
      </c>
    </row>
    <row r="257">
      <c r="A257" s="7" t="inlineStr">
        <is>
          <t>2026-05-11</t>
        </is>
      </c>
      <c r="B257" s="2" t="n">
        <v>0.116777628660202</v>
      </c>
      <c r="C257" s="2">
        <f>B257 - $J$3</f>
        <v/>
      </c>
      <c r="D257" s="2">
        <f>C257^2</f>
        <v/>
      </c>
      <c r="E257" s="2">
        <f>C257^3</f>
        <v/>
      </c>
      <c r="F257" s="2">
        <f>(C257 / $J$5)^3</f>
        <v/>
      </c>
      <c r="G257" s="2">
        <f>(C257 / $J$5)^4</f>
        <v/>
      </c>
    </row>
    <row r="258">
      <c r="A258" s="7" t="inlineStr">
        <is>
          <t>2026-05-12</t>
        </is>
      </c>
      <c r="B258" s="2" t="n">
        <v>0.1106145828962326</v>
      </c>
      <c r="C258" s="2">
        <f>B258 - $J$3</f>
        <v/>
      </c>
      <c r="D258" s="2">
        <f>C258^2</f>
        <v/>
      </c>
      <c r="E258" s="2">
        <f>C258^3</f>
        <v/>
      </c>
      <c r="F258" s="2">
        <f>(C258 / $J$5)^3</f>
        <v/>
      </c>
      <c r="G258" s="2">
        <f>(C258 / $J$5)^4</f>
        <v/>
      </c>
    </row>
    <row r="259">
      <c r="A259" s="7" t="inlineStr">
        <is>
          <t>2026-05-13</t>
        </is>
      </c>
      <c r="B259" s="2" t="n">
        <v>0.1133069843053817</v>
      </c>
      <c r="C259" s="2">
        <f>B259 - $J$3</f>
        <v/>
      </c>
      <c r="D259" s="2">
        <f>C259^2</f>
        <v/>
      </c>
      <c r="E259" s="2">
        <f>C259^3</f>
        <v/>
      </c>
      <c r="F259" s="2">
        <f>(C259 / $J$5)^3</f>
        <v/>
      </c>
      <c r="G259" s="2">
        <f>(C259 / $J$5)^4</f>
        <v/>
      </c>
    </row>
    <row r="260">
      <c r="A260" s="7" t="inlineStr">
        <is>
          <t>2026-05-14</t>
        </is>
      </c>
      <c r="B260" s="2" t="n">
        <v>0.1105283498764038</v>
      </c>
      <c r="C260" s="2">
        <f>B260 - $J$3</f>
        <v/>
      </c>
      <c r="D260" s="2">
        <f>C260^2</f>
        <v/>
      </c>
      <c r="E260" s="2">
        <f>C260^3</f>
        <v/>
      </c>
      <c r="F260" s="2">
        <f>(C260 / $J$5)^3</f>
        <v/>
      </c>
      <c r="G260" s="2">
        <f>(C260 / $J$5)^4</f>
        <v/>
      </c>
    </row>
    <row r="261">
      <c r="A261" s="7" t="inlineStr">
        <is>
          <t>2026-05-15</t>
        </is>
      </c>
      <c r="B261" s="2" t="n">
        <v>0.1166291683912277</v>
      </c>
      <c r="C261" s="2">
        <f>B261 - $J$3</f>
        <v/>
      </c>
      <c r="D261" s="2">
        <f>C261^2</f>
        <v/>
      </c>
      <c r="E261" s="2">
        <f>C261^3</f>
        <v/>
      </c>
      <c r="F261" s="2">
        <f>(C261 / $J$5)^3</f>
        <v/>
      </c>
      <c r="G261" s="2">
        <f>(C261 / $J$5)^4</f>
        <v/>
      </c>
    </row>
    <row r="262">
      <c r="A262" s="7" t="inlineStr">
        <is>
          <t>2026-05-17</t>
        </is>
      </c>
      <c r="B262" s="2" t="n">
        <v>0.1183095350861549</v>
      </c>
      <c r="C262" s="2">
        <f>B262 - $J$3</f>
        <v/>
      </c>
      <c r="D262" s="2">
        <f>C262^2</f>
        <v/>
      </c>
      <c r="E262" s="2">
        <f>C262^3</f>
        <v/>
      </c>
      <c r="F262" s="2">
        <f>(C262 / $J$5)^3</f>
        <v/>
      </c>
      <c r="G262" s="2">
        <f>(C262 / $J$5)^4</f>
        <v/>
      </c>
    </row>
    <row r="263">
      <c r="A263" s="7" t="inlineStr">
        <is>
          <t>2026-05-18</t>
        </is>
      </c>
      <c r="B263" s="2" t="n">
        <v>0.1147622764110565</v>
      </c>
      <c r="C263" s="2">
        <f>B263 - $J$3</f>
        <v/>
      </c>
      <c r="D263" s="2">
        <f>C263^2</f>
        <v/>
      </c>
      <c r="E263" s="2">
        <f>C263^3</f>
        <v/>
      </c>
      <c r="F263" s="2">
        <f>(C263 / $J$5)^3</f>
        <v/>
      </c>
      <c r="G263" s="2">
        <f>(C263 / $J$5)^4</f>
        <v/>
      </c>
    </row>
    <row r="264">
      <c r="A264" s="7" t="inlineStr">
        <is>
          <t>2026-05-19</t>
        </is>
      </c>
      <c r="B264" s="2" t="n">
        <v>0.1133904233574867</v>
      </c>
      <c r="C264" s="2">
        <f>B264 - $J$3</f>
        <v/>
      </c>
      <c r="D264" s="2">
        <f>C264^2</f>
        <v/>
      </c>
      <c r="E264" s="2">
        <f>C264^3</f>
        <v/>
      </c>
      <c r="F264" s="2">
        <f>(C264 / $J$5)^3</f>
        <v/>
      </c>
      <c r="G264" s="2">
        <f>(C264 / $J$5)^4</f>
        <v/>
      </c>
    </row>
    <row r="265">
      <c r="A265" s="7" t="inlineStr">
        <is>
          <t>2026-05-20</t>
        </is>
      </c>
      <c r="B265" s="2" t="n">
        <v>0.1202369555830955</v>
      </c>
      <c r="C265" s="2">
        <f>B265 - $J$3</f>
        <v/>
      </c>
      <c r="D265" s="2">
        <f>C265^2</f>
        <v/>
      </c>
      <c r="E265" s="2">
        <f>C265^3</f>
        <v/>
      </c>
      <c r="F265" s="2">
        <f>(C265 / $J$5)^3</f>
        <v/>
      </c>
      <c r="G265" s="2">
        <f>(C265 / $J$5)^4</f>
        <v/>
      </c>
    </row>
    <row r="266">
      <c r="A266" s="7" t="inlineStr">
        <is>
          <t>2026-05-21</t>
        </is>
      </c>
      <c r="B266" s="2" t="n">
        <v>0.114012636244297</v>
      </c>
      <c r="C266" s="2">
        <f>B266 - $J$3</f>
        <v/>
      </c>
      <c r="D266" s="2">
        <f>C266^2</f>
        <v/>
      </c>
      <c r="E266" s="2">
        <f>C266^3</f>
        <v/>
      </c>
      <c r="F266" s="2">
        <f>(C266 / $J$5)^3</f>
        <v/>
      </c>
      <c r="G266" s="2">
        <f>(C266 / $J$5)^4</f>
        <v/>
      </c>
    </row>
    <row r="267">
      <c r="A267" s="7" t="inlineStr">
        <is>
          <t>2026-05-22</t>
        </is>
      </c>
      <c r="B267" s="2" t="n">
        <v>0.1181320324540138</v>
      </c>
      <c r="C267" s="2">
        <f>B267 - $J$3</f>
        <v/>
      </c>
      <c r="D267" s="2">
        <f>C267^2</f>
        <v/>
      </c>
      <c r="E267" s="2">
        <f>C267^3</f>
        <v/>
      </c>
      <c r="F267" s="2">
        <f>(C267 / $J$5)^3</f>
        <v/>
      </c>
      <c r="G267" s="2">
        <f>(C267 / $J$5)^4</f>
        <v/>
      </c>
    </row>
    <row r="268">
      <c r="A268" s="7" t="inlineStr">
        <is>
          <t>2026-05-23</t>
        </is>
      </c>
      <c r="B268" s="2" t="n">
        <v>0.1112838238477706</v>
      </c>
      <c r="C268" s="2">
        <f>B268 - $J$3</f>
        <v/>
      </c>
      <c r="D268" s="2">
        <f>C268^2</f>
        <v/>
      </c>
      <c r="E268" s="2">
        <f>C268^3</f>
        <v/>
      </c>
      <c r="F268" s="2">
        <f>(C268 / $J$5)^3</f>
        <v/>
      </c>
      <c r="G268" s="2">
        <f>(C268 / $J$5)^4</f>
        <v/>
      </c>
    </row>
    <row r="269">
      <c r="A269" s="7" t="inlineStr">
        <is>
          <t>2026-05-24</t>
        </is>
      </c>
      <c r="B269" s="2" t="n">
        <v>0.1185106411576271</v>
      </c>
      <c r="C269" s="2">
        <f>B269 - $J$3</f>
        <v/>
      </c>
      <c r="D269" s="2">
        <f>C269^2</f>
        <v/>
      </c>
      <c r="E269" s="2">
        <f>C269^3</f>
        <v/>
      </c>
      <c r="F269" s="2">
        <f>(C269 / $J$5)^3</f>
        <v/>
      </c>
      <c r="G269" s="2">
        <f>(C269 / $J$5)^4</f>
        <v/>
      </c>
    </row>
    <row r="270">
      <c r="A270" s="7" t="inlineStr">
        <is>
          <t>2026-05-25</t>
        </is>
      </c>
      <c r="B270" s="2" t="n">
        <v>0.1159191951155662</v>
      </c>
      <c r="C270" s="2">
        <f>B270 - $J$3</f>
        <v/>
      </c>
      <c r="D270" s="2">
        <f>C270^2</f>
        <v/>
      </c>
      <c r="E270" s="2">
        <f>C270^3</f>
        <v/>
      </c>
      <c r="F270" s="2">
        <f>(C270 / $J$5)^3</f>
        <v/>
      </c>
      <c r="G270" s="2">
        <f>(C270 / $J$5)^4</f>
        <v/>
      </c>
    </row>
    <row r="271">
      <c r="A271" s="7" t="inlineStr">
        <is>
          <t>2026-05-26</t>
        </is>
      </c>
      <c r="B271" s="2" t="n">
        <v>0.1174435317516326</v>
      </c>
      <c r="C271" s="2">
        <f>B271 - $J$3</f>
        <v/>
      </c>
      <c r="D271" s="2">
        <f>C271^2</f>
        <v/>
      </c>
      <c r="E271" s="2">
        <f>C271^3</f>
        <v/>
      </c>
      <c r="F271" s="2">
        <f>(C271 / $J$5)^3</f>
        <v/>
      </c>
      <c r="G271" s="2">
        <f>(C271 / $J$5)^4</f>
        <v/>
      </c>
    </row>
    <row r="272">
      <c r="A272" s="7" t="inlineStr">
        <is>
          <t>2026-05-27</t>
        </is>
      </c>
      <c r="B272" s="2" t="n">
        <v>0.1172057315707206</v>
      </c>
      <c r="C272" s="2">
        <f>B272 - $J$3</f>
        <v/>
      </c>
      <c r="D272" s="2">
        <f>C272^2</f>
        <v/>
      </c>
      <c r="E272" s="2">
        <f>C272^3</f>
        <v/>
      </c>
      <c r="F272" s="2">
        <f>(C272 / $J$5)^3</f>
        <v/>
      </c>
      <c r="G272" s="2">
        <f>(C272 / $J$5)^4</f>
        <v/>
      </c>
    </row>
    <row r="273">
      <c r="A273" s="7" t="inlineStr">
        <is>
          <t>2026-05-28</t>
        </is>
      </c>
      <c r="B273" s="2" t="n">
        <v>0.1154631003737449</v>
      </c>
      <c r="C273" s="2">
        <f>B273 - $J$3</f>
        <v/>
      </c>
      <c r="D273" s="2">
        <f>C273^2</f>
        <v/>
      </c>
      <c r="E273" s="2">
        <f>C273^3</f>
        <v/>
      </c>
      <c r="F273" s="2">
        <f>(C273 / $J$5)^3</f>
        <v/>
      </c>
      <c r="G273" s="2">
        <f>(C273 / $J$5)^4</f>
        <v/>
      </c>
    </row>
    <row r="274">
      <c r="A274" s="7" t="inlineStr">
        <is>
          <t>2026-05-29</t>
        </is>
      </c>
      <c r="B274" s="2" t="n">
        <v>0.1145669296383857</v>
      </c>
      <c r="C274" s="2">
        <f>B274 - $J$3</f>
        <v/>
      </c>
      <c r="D274" s="2">
        <f>C274^2</f>
        <v/>
      </c>
      <c r="E274" s="2">
        <f>C274^3</f>
        <v/>
      </c>
      <c r="F274" s="2">
        <f>(C274 / $J$5)^3</f>
        <v/>
      </c>
      <c r="G274" s="2">
        <f>(C274 / $J$5)^4</f>
        <v/>
      </c>
    </row>
    <row r="275">
      <c r="A275" s="7" t="inlineStr">
        <is>
          <t>2026-05-31</t>
        </is>
      </c>
      <c r="B275" s="2" t="n">
        <v>0.112302154302597</v>
      </c>
      <c r="C275" s="2">
        <f>B275 - $J$3</f>
        <v/>
      </c>
      <c r="D275" s="2">
        <f>C275^2</f>
        <v/>
      </c>
      <c r="E275" s="2">
        <f>C275^3</f>
        <v/>
      </c>
      <c r="F275" s="2">
        <f>(C275 / $J$5)^3</f>
        <v/>
      </c>
      <c r="G275" s="2">
        <f>(C275 / $J$5)^4</f>
        <v/>
      </c>
    </row>
    <row r="276">
      <c r="A276" s="7" t="inlineStr">
        <is>
          <t>2026-06-02</t>
        </is>
      </c>
      <c r="B276" s="2" t="n">
        <v>0.1159917786717414</v>
      </c>
      <c r="C276" s="2">
        <f>B276 - $J$3</f>
        <v/>
      </c>
      <c r="D276" s="2">
        <f>C276^2</f>
        <v/>
      </c>
      <c r="E276" s="2">
        <f>C276^3</f>
        <v/>
      </c>
      <c r="F276" s="2">
        <f>(C276 / $J$5)^3</f>
        <v/>
      </c>
      <c r="G276" s="2">
        <f>(C276 / $J$5)^4</f>
        <v/>
      </c>
    </row>
    <row r="277">
      <c r="A277" s="7" t="inlineStr">
        <is>
          <t>2026-06-03</t>
        </is>
      </c>
      <c r="B277" s="2" t="n">
        <v>0.1134538277983665</v>
      </c>
      <c r="C277" s="2">
        <f>B277 - $J$3</f>
        <v/>
      </c>
      <c r="D277" s="2">
        <f>C277^2</f>
        <v/>
      </c>
      <c r="E277" s="2">
        <f>C277^3</f>
        <v/>
      </c>
      <c r="F277" s="2">
        <f>(C277 / $J$5)^3</f>
        <v/>
      </c>
      <c r="G277" s="2">
        <f>(C277 / $J$5)^4</f>
        <v/>
      </c>
    </row>
    <row r="278">
      <c r="A278" s="7" t="inlineStr">
        <is>
          <t>2026-06-04</t>
        </is>
      </c>
      <c r="B278" s="2" t="n">
        <v>0.1111803874373436</v>
      </c>
      <c r="C278" s="2">
        <f>B278 - $J$3</f>
        <v/>
      </c>
      <c r="D278" s="2">
        <f>C278^2</f>
        <v/>
      </c>
      <c r="E278" s="2">
        <f>C278^3</f>
        <v/>
      </c>
      <c r="F278" s="2">
        <f>(C278 / $J$5)^3</f>
        <v/>
      </c>
      <c r="G278" s="2">
        <f>(C278 / $J$5)^4</f>
        <v/>
      </c>
    </row>
    <row r="279">
      <c r="A279" s="7" t="inlineStr">
        <is>
          <t>2026-06-05</t>
        </is>
      </c>
      <c r="B279" s="2" t="n">
        <v>0.1210295855998992</v>
      </c>
      <c r="C279" s="2">
        <f>B279 - $J$3</f>
        <v/>
      </c>
      <c r="D279" s="2">
        <f>C279^2</f>
        <v/>
      </c>
      <c r="E279" s="2">
        <f>C279^3</f>
        <v/>
      </c>
      <c r="F279" s="2">
        <f>(C279 / $J$5)^3</f>
        <v/>
      </c>
      <c r="G279" s="2">
        <f>(C279 / $J$5)^4</f>
        <v/>
      </c>
    </row>
    <row r="280">
      <c r="A280" s="7" t="inlineStr">
        <is>
          <t>2026-06-06</t>
        </is>
      </c>
      <c r="B280" s="2" t="n">
        <v>0.1206322461366653</v>
      </c>
      <c r="C280" s="2">
        <f>B280 - $J$3</f>
        <v/>
      </c>
      <c r="D280" s="2">
        <f>C280^2</f>
        <v/>
      </c>
      <c r="E280" s="2">
        <f>C280^3</f>
        <v/>
      </c>
      <c r="F280" s="2">
        <f>(C280 / $J$5)^3</f>
        <v/>
      </c>
      <c r="G280" s="2">
        <f>(C280 / $J$5)^4</f>
        <v/>
      </c>
    </row>
    <row r="281">
      <c r="A281" s="7" t="inlineStr">
        <is>
          <t>2026-06-07</t>
        </is>
      </c>
      <c r="B281" s="2" t="n">
        <v>0.1094184145331382</v>
      </c>
      <c r="C281" s="2">
        <f>B281 - $J$3</f>
        <v/>
      </c>
      <c r="D281" s="2">
        <f>C281^2</f>
        <v/>
      </c>
      <c r="E281" s="2">
        <f>C281^3</f>
        <v/>
      </c>
      <c r="F281" s="2">
        <f>(C281 / $J$5)^3</f>
        <v/>
      </c>
      <c r="G281" s="2">
        <f>(C281 / $J$5)^4</f>
        <v/>
      </c>
    </row>
    <row r="282">
      <c r="A282" s="7" t="inlineStr">
        <is>
          <t>2026-06-08</t>
        </is>
      </c>
      <c r="B282" s="2" t="n">
        <v>0.1106541752815246</v>
      </c>
      <c r="C282" s="2">
        <f>B282 - $J$3</f>
        <v/>
      </c>
      <c r="D282" s="2">
        <f>C282^2</f>
        <v/>
      </c>
      <c r="E282" s="2">
        <f>C282^3</f>
        <v/>
      </c>
      <c r="F282" s="2">
        <f>(C282 / $J$5)^3</f>
        <v/>
      </c>
      <c r="G282" s="2">
        <f>(C282 / $J$5)^4</f>
        <v/>
      </c>
    </row>
    <row r="283">
      <c r="A283" s="7" t="inlineStr">
        <is>
          <t>2026-06-09</t>
        </is>
      </c>
      <c r="B283" s="2" t="n">
        <v>0.1136703342199325</v>
      </c>
      <c r="C283" s="2">
        <f>B283 - $J$3</f>
        <v/>
      </c>
      <c r="D283" s="2">
        <f>C283^2</f>
        <v/>
      </c>
      <c r="E283" s="2">
        <f>C283^3</f>
        <v/>
      </c>
      <c r="F283" s="2">
        <f>(C283 / $J$5)^3</f>
        <v/>
      </c>
      <c r="G283" s="2">
        <f>(C283 / $J$5)^4</f>
        <v/>
      </c>
    </row>
    <row r="284">
      <c r="A284" s="7" t="inlineStr">
        <is>
          <t>2026-06-10</t>
        </is>
      </c>
      <c r="B284" s="2" t="n">
        <v>0.1121927499771118</v>
      </c>
      <c r="C284" s="2">
        <f>B284 - $J$3</f>
        <v/>
      </c>
      <c r="D284" s="2">
        <f>C284^2</f>
        <v/>
      </c>
      <c r="E284" s="2">
        <f>C284^3</f>
        <v/>
      </c>
      <c r="F284" s="2">
        <f>(C284 / $J$5)^3</f>
        <v/>
      </c>
      <c r="G284" s="2">
        <f>(C284 / $J$5)^4</f>
        <v/>
      </c>
    </row>
    <row r="285">
      <c r="A285" s="7" t="inlineStr">
        <is>
          <t>2026-06-11</t>
        </is>
      </c>
      <c r="B285" s="2" t="n">
        <v>0.1185035780072212</v>
      </c>
      <c r="C285" s="2">
        <f>B285 - $J$3</f>
        <v/>
      </c>
      <c r="D285" s="2">
        <f>C285^2</f>
        <v/>
      </c>
      <c r="E285" s="2">
        <f>C285^3</f>
        <v/>
      </c>
      <c r="F285" s="2">
        <f>(C285 / $J$5)^3</f>
        <v/>
      </c>
      <c r="G285" s="2">
        <f>(C285 / $J$5)^4</f>
        <v/>
      </c>
    </row>
    <row r="286">
      <c r="A286" s="7" t="inlineStr">
        <is>
          <t>2026-06-12</t>
        </is>
      </c>
      <c r="B286" s="2" t="n">
        <v>0.1190342307090759</v>
      </c>
      <c r="C286" s="2">
        <f>B286 - $J$3</f>
        <v/>
      </c>
      <c r="D286" s="2">
        <f>C286^2</f>
        <v/>
      </c>
      <c r="E286" s="2">
        <f>C286^3</f>
        <v/>
      </c>
      <c r="F286" s="2">
        <f>(C286 / $J$5)^3</f>
        <v/>
      </c>
      <c r="G286" s="2">
        <f>(C286 / $J$5)^4</f>
        <v/>
      </c>
    </row>
    <row r="287">
      <c r="A287" s="7" t="inlineStr">
        <is>
          <t>2026-06-13</t>
        </is>
      </c>
      <c r="B287" s="2" t="n">
        <v>0.1132523342967033</v>
      </c>
      <c r="C287" s="2">
        <f>B287 - $J$3</f>
        <v/>
      </c>
      <c r="D287" s="2">
        <f>C287^2</f>
        <v/>
      </c>
      <c r="E287" s="2">
        <f>C287^3</f>
        <v/>
      </c>
      <c r="F287" s="2">
        <f>(C287 / $J$5)^3</f>
        <v/>
      </c>
      <c r="G287" s="2">
        <f>(C287 / $J$5)^4</f>
        <v/>
      </c>
    </row>
    <row r="288">
      <c r="A288" s="7" t="inlineStr">
        <is>
          <t>2026-06-14</t>
        </is>
      </c>
      <c r="B288" s="2" t="n">
        <v>0.121727280318737</v>
      </c>
      <c r="C288" s="2">
        <f>B288 - $J$3</f>
        <v/>
      </c>
      <c r="D288" s="2">
        <f>C288^2</f>
        <v/>
      </c>
      <c r="E288" s="2">
        <f>C288^3</f>
        <v/>
      </c>
      <c r="F288" s="2">
        <f>(C288 / $J$5)^3</f>
        <v/>
      </c>
      <c r="G288" s="2">
        <f>(C288 / $J$5)^4</f>
        <v/>
      </c>
    </row>
    <row r="289">
      <c r="A289" s="7" t="inlineStr">
        <is>
          <t>2026-06-15</t>
        </is>
      </c>
      <c r="B289" s="2" t="n">
        <v>0.1114769428968429</v>
      </c>
      <c r="C289" s="2">
        <f>B289 - $J$3</f>
        <v/>
      </c>
      <c r="D289" s="2">
        <f>C289^2</f>
        <v/>
      </c>
      <c r="E289" s="2">
        <f>C289^3</f>
        <v/>
      </c>
      <c r="F289" s="2">
        <f>(C289 / $J$5)^3</f>
        <v/>
      </c>
      <c r="G289" s="2">
        <f>(C289 / $J$5)^4</f>
        <v/>
      </c>
    </row>
    <row r="290">
      <c r="A290" s="7" t="inlineStr">
        <is>
          <t>2026-06-16</t>
        </is>
      </c>
      <c r="B290" s="2" t="n">
        <v>0.1148826256394386</v>
      </c>
      <c r="C290" s="2">
        <f>B290 - $J$3</f>
        <v/>
      </c>
      <c r="D290" s="2">
        <f>C290^2</f>
        <v/>
      </c>
      <c r="E290" s="2">
        <f>C290^3</f>
        <v/>
      </c>
      <c r="F290" s="2">
        <f>(C290 / $J$5)^3</f>
        <v/>
      </c>
      <c r="G290" s="2">
        <f>(C290 / $J$5)^4</f>
        <v/>
      </c>
    </row>
    <row r="291">
      <c r="A291" s="7" t="inlineStr">
        <is>
          <t>2026-06-17</t>
        </is>
      </c>
      <c r="B291" s="2" t="n">
        <v>0.1191762536764144</v>
      </c>
      <c r="C291" s="2">
        <f>B291 - $J$3</f>
        <v/>
      </c>
      <c r="D291" s="2">
        <f>C291^2</f>
        <v/>
      </c>
      <c r="E291" s="2">
        <f>C291^3</f>
        <v/>
      </c>
      <c r="F291" s="2">
        <f>(C291 / $J$5)^3</f>
        <v/>
      </c>
      <c r="G291" s="2">
        <f>(C291 / $J$5)^4</f>
        <v/>
      </c>
    </row>
    <row r="292">
      <c r="A292" s="7" t="inlineStr">
        <is>
          <t>2026-06-18</t>
        </is>
      </c>
      <c r="B292" s="2" t="n">
        <v>0.1202809140086174</v>
      </c>
      <c r="C292" s="2">
        <f>B292 - $J$3</f>
        <v/>
      </c>
      <c r="D292" s="2">
        <f>C292^2</f>
        <v/>
      </c>
      <c r="E292" s="2">
        <f>C292^3</f>
        <v/>
      </c>
      <c r="F292" s="2">
        <f>(C292 / $J$5)^3</f>
        <v/>
      </c>
      <c r="G292" s="2">
        <f>(C292 / $J$5)^4</f>
        <v/>
      </c>
    </row>
    <row r="293">
      <c r="A293" s="7" t="inlineStr">
        <is>
          <t>2026-06-19</t>
        </is>
      </c>
      <c r="B293" s="2" t="n">
        <v>0.1200142055749893</v>
      </c>
      <c r="C293" s="2">
        <f>B293 - $J$3</f>
        <v/>
      </c>
      <c r="D293" s="2">
        <f>C293^2</f>
        <v/>
      </c>
      <c r="E293" s="2">
        <f>C293^3</f>
        <v/>
      </c>
      <c r="F293" s="2">
        <f>(C293 / $J$5)^3</f>
        <v/>
      </c>
      <c r="G293" s="2">
        <f>(C293 / $J$5)^4</f>
        <v/>
      </c>
    </row>
    <row r="294">
      <c r="A294" s="7" t="inlineStr">
        <is>
          <t>2026-06-20</t>
        </is>
      </c>
      <c r="B294" s="2" t="n">
        <v>0.1126351505517959</v>
      </c>
      <c r="C294" s="2">
        <f>B294 - $J$3</f>
        <v/>
      </c>
      <c r="D294" s="2">
        <f>C294^2</f>
        <v/>
      </c>
      <c r="E294" s="2">
        <f>C294^3</f>
        <v/>
      </c>
      <c r="F294" s="2">
        <f>(C294 / $J$5)^3</f>
        <v/>
      </c>
      <c r="G294" s="2">
        <f>(C294 / $J$5)^4</f>
        <v/>
      </c>
    </row>
    <row r="295">
      <c r="A295" s="7" t="inlineStr">
        <is>
          <t>2026-06-21</t>
        </is>
      </c>
      <c r="B295" s="2" t="n">
        <v>0.1125304475426673</v>
      </c>
      <c r="C295" s="2">
        <f>B295 - $J$3</f>
        <v/>
      </c>
      <c r="D295" s="2">
        <f>C295^2</f>
        <v/>
      </c>
      <c r="E295" s="2">
        <f>C295^3</f>
        <v/>
      </c>
      <c r="F295" s="2">
        <f>(C295 / $J$5)^3</f>
        <v/>
      </c>
      <c r="G295" s="2">
        <f>(C295 / $J$5)^4</f>
        <v/>
      </c>
    </row>
    <row r="296">
      <c r="A296" s="7" t="inlineStr">
        <is>
          <t>2026-06-22</t>
        </is>
      </c>
      <c r="B296" s="2" t="n">
        <v>0.1160520613193512</v>
      </c>
      <c r="C296" s="2">
        <f>B296 - $J$3</f>
        <v/>
      </c>
      <c r="D296" s="2">
        <f>C296^2</f>
        <v/>
      </c>
      <c r="E296" s="2">
        <f>C296^3</f>
        <v/>
      </c>
      <c r="F296" s="2">
        <f>(C296 / $J$5)^3</f>
        <v/>
      </c>
      <c r="G296" s="2">
        <f>(C296 / $J$5)^4</f>
        <v/>
      </c>
    </row>
    <row r="297">
      <c r="A297" s="7" t="inlineStr">
        <is>
          <t>2026-06-23</t>
        </is>
      </c>
      <c r="B297" s="2" t="n">
        <v>0.1129483953118324</v>
      </c>
      <c r="C297" s="2">
        <f>B297 - $J$3</f>
        <v/>
      </c>
      <c r="D297" s="2">
        <f>C297^2</f>
        <v/>
      </c>
      <c r="E297" s="2">
        <f>C297^3</f>
        <v/>
      </c>
      <c r="F297" s="2">
        <f>(C297 / $J$5)^3</f>
        <v/>
      </c>
      <c r="G297" s="2">
        <f>(C297 / $J$5)^4</f>
        <v/>
      </c>
    </row>
    <row r="298">
      <c r="A298" s="7" t="inlineStr">
        <is>
          <t>2026-06-24</t>
        </is>
      </c>
      <c r="B298" s="2" t="n">
        <v>0.1115932837128639</v>
      </c>
      <c r="C298" s="2">
        <f>B298 - $J$3</f>
        <v/>
      </c>
      <c r="D298" s="2">
        <f>C298^2</f>
        <v/>
      </c>
      <c r="E298" s="2">
        <f>C298^3</f>
        <v/>
      </c>
      <c r="F298" s="2">
        <f>(C298 / $J$5)^3</f>
        <v/>
      </c>
      <c r="G298" s="2">
        <f>(C298 / $J$5)^4</f>
        <v/>
      </c>
    </row>
    <row r="299">
      <c r="A299" s="7" t="inlineStr">
        <is>
          <t>2026-06-25</t>
        </is>
      </c>
      <c r="B299" s="2" t="n">
        <v>0.1143276020884513</v>
      </c>
      <c r="C299" s="2">
        <f>B299 - $J$3</f>
        <v/>
      </c>
      <c r="D299" s="2">
        <f>C299^2</f>
        <v/>
      </c>
      <c r="E299" s="2">
        <f>C299^3</f>
        <v/>
      </c>
      <c r="F299" s="2">
        <f>(C299 / $J$5)^3</f>
        <v/>
      </c>
      <c r="G299" s="2">
        <f>(C299 / $J$5)^4</f>
        <v/>
      </c>
    </row>
    <row r="300">
      <c r="A300" s="7" t="inlineStr">
        <is>
          <t>2026-06-26</t>
        </is>
      </c>
      <c r="B300" s="2" t="n">
        <v>0.1086517870426178</v>
      </c>
      <c r="C300" s="2">
        <f>B300 - $J$3</f>
        <v/>
      </c>
      <c r="D300" s="2">
        <f>C300^2</f>
        <v/>
      </c>
      <c r="E300" s="2">
        <f>C300^3</f>
        <v/>
      </c>
      <c r="F300" s="2">
        <f>(C300 / $J$5)^3</f>
        <v/>
      </c>
      <c r="G300" s="2">
        <f>(C300 / $J$5)^4</f>
        <v/>
      </c>
    </row>
    <row r="301">
      <c r="A301" s="7" t="inlineStr">
        <is>
          <t>2026-06-27</t>
        </is>
      </c>
      <c r="B301" s="2" t="n">
        <v>0.112609677016735</v>
      </c>
      <c r="C301" s="2">
        <f>B301 - $J$3</f>
        <v/>
      </c>
      <c r="D301" s="2">
        <f>C301^2</f>
        <v/>
      </c>
      <c r="E301" s="2">
        <f>C301^3</f>
        <v/>
      </c>
      <c r="F301" s="2">
        <f>(C301 / $J$5)^3</f>
        <v/>
      </c>
      <c r="G301" s="2">
        <f>(C301 / $J$5)^4</f>
        <v/>
      </c>
    </row>
    <row r="302">
      <c r="A302" s="7" t="inlineStr">
        <is>
          <t>2026-06-28</t>
        </is>
      </c>
      <c r="B302" s="2" t="n">
        <v>0.1169955879449844</v>
      </c>
      <c r="C302" s="2">
        <f>B302 - $J$3</f>
        <v/>
      </c>
      <c r="D302" s="2">
        <f>C302^2</f>
        <v/>
      </c>
      <c r="E302" s="2">
        <f>C302^3</f>
        <v/>
      </c>
      <c r="F302" s="2">
        <f>(C302 / $J$5)^3</f>
        <v/>
      </c>
      <c r="G302" s="2">
        <f>(C302 / $J$5)^4</f>
        <v/>
      </c>
    </row>
    <row r="303">
      <c r="A303" s="7" t="inlineStr">
        <is>
          <t>2026-06-29</t>
        </is>
      </c>
      <c r="B303" s="2" t="n">
        <v>0.1181989908218383</v>
      </c>
      <c r="C303" s="2">
        <f>B303 - $J$3</f>
        <v/>
      </c>
      <c r="D303" s="2">
        <f>C303^2</f>
        <v/>
      </c>
      <c r="E303" s="2">
        <f>C303^3</f>
        <v/>
      </c>
      <c r="F303" s="2">
        <f>(C303 / $J$5)^3</f>
        <v/>
      </c>
      <c r="G303" s="2">
        <f>(C303 / $J$5)^4</f>
        <v/>
      </c>
    </row>
    <row r="304">
      <c r="A304" s="7" t="inlineStr">
        <is>
          <t>2026-06-30</t>
        </is>
      </c>
      <c r="B304" s="2" t="n">
        <v>0.114476777613163</v>
      </c>
      <c r="C304" s="2">
        <f>B304 - $J$3</f>
        <v/>
      </c>
      <c r="D304" s="2">
        <f>C304^2</f>
        <v/>
      </c>
      <c r="E304" s="2">
        <f>C304^3</f>
        <v/>
      </c>
      <c r="F304" s="2">
        <f>(C304 / $J$5)^3</f>
        <v/>
      </c>
      <c r="G304" s="2">
        <f>(C304 / $J$5)^4</f>
        <v/>
      </c>
    </row>
    <row r="305">
      <c r="A305" s="7" t="inlineStr">
        <is>
          <t>2026-07-01</t>
        </is>
      </c>
      <c r="B305" s="2" t="n">
        <v>0.1190985813736915</v>
      </c>
      <c r="C305" s="2">
        <f>B305 - $J$3</f>
        <v/>
      </c>
      <c r="D305" s="2">
        <f>C305^2</f>
        <v/>
      </c>
      <c r="E305" s="2">
        <f>C305^3</f>
        <v/>
      </c>
      <c r="F305" s="2">
        <f>(C305 / $J$5)^3</f>
        <v/>
      </c>
      <c r="G305" s="2">
        <f>(C305 / $J$5)^4</f>
        <v/>
      </c>
    </row>
    <row r="306">
      <c r="A306" s="7" t="inlineStr">
        <is>
          <t>2026-07-02</t>
        </is>
      </c>
      <c r="B306" s="2" t="n">
        <v>0.1169472187757492</v>
      </c>
      <c r="C306" s="2">
        <f>B306 - $J$3</f>
        <v/>
      </c>
      <c r="D306" s="2">
        <f>C306^2</f>
        <v/>
      </c>
      <c r="E306" s="2">
        <f>C306^3</f>
        <v/>
      </c>
      <c r="F306" s="2">
        <f>(C306 / $J$5)^3</f>
        <v/>
      </c>
      <c r="G306" s="2">
        <f>(C306 / $J$5)^4</f>
        <v/>
      </c>
    </row>
    <row r="307">
      <c r="A307" s="7" t="inlineStr">
        <is>
          <t>2026-07-03</t>
        </is>
      </c>
      <c r="B307" s="2" t="n">
        <v>0.1158419102430343</v>
      </c>
      <c r="C307" s="2">
        <f>B307 - $J$3</f>
        <v/>
      </c>
      <c r="D307" s="2">
        <f>C307^2</f>
        <v/>
      </c>
      <c r="E307" s="2">
        <f>C307^3</f>
        <v/>
      </c>
      <c r="F307" s="2">
        <f>(C307 / $J$5)^3</f>
        <v/>
      </c>
      <c r="G307" s="2">
        <f>(C307 / $J$5)^4</f>
        <v/>
      </c>
    </row>
    <row r="308">
      <c r="A308" s="7" t="inlineStr">
        <is>
          <t>2026-07-04</t>
        </is>
      </c>
      <c r="B308" s="2" t="n">
        <v>0.1224233508110046</v>
      </c>
      <c r="C308" s="2">
        <f>B308 - $J$3</f>
        <v/>
      </c>
      <c r="D308" s="2">
        <f>C308^2</f>
        <v/>
      </c>
      <c r="E308" s="2">
        <f>C308^3</f>
        <v/>
      </c>
      <c r="F308" s="2">
        <f>(C308 / $J$5)^3</f>
        <v/>
      </c>
      <c r="G308" s="2">
        <f>(C308 / $J$5)^4</f>
        <v/>
      </c>
    </row>
    <row r="309">
      <c r="A309" s="7" t="inlineStr">
        <is>
          <t>2026-07-05</t>
        </is>
      </c>
      <c r="B309" s="2" t="n">
        <v>0.117695041000843</v>
      </c>
      <c r="C309" s="2">
        <f>B309 - $J$3</f>
        <v/>
      </c>
      <c r="D309" s="2">
        <f>C309^2</f>
        <v/>
      </c>
      <c r="E309" s="2">
        <f>C309^3</f>
        <v/>
      </c>
      <c r="F309" s="2">
        <f>(C309 / $J$5)^3</f>
        <v/>
      </c>
      <c r="G309" s="2">
        <f>(C309 / $J$5)^4</f>
        <v/>
      </c>
    </row>
    <row r="310">
      <c r="A310" s="7" t="inlineStr">
        <is>
          <t>2026-07-06</t>
        </is>
      </c>
      <c r="B310" s="2" t="n">
        <v>0.1148803979158401</v>
      </c>
      <c r="C310" s="2">
        <f>B310 - $J$3</f>
        <v/>
      </c>
      <c r="D310" s="2">
        <f>C310^2</f>
        <v/>
      </c>
      <c r="E310" s="2">
        <f>C310^3</f>
        <v/>
      </c>
      <c r="F310" s="2">
        <f>(C310 / $J$5)^3</f>
        <v/>
      </c>
      <c r="G310" s="2">
        <f>(C310 / $J$5)^4</f>
        <v/>
      </c>
    </row>
    <row r="311">
      <c r="A311" s="7" t="inlineStr">
        <is>
          <t>2026-07-07</t>
        </is>
      </c>
      <c r="B311" s="2" t="n">
        <v>0.1150528416037559</v>
      </c>
      <c r="C311" s="2">
        <f>B311 - $J$3</f>
        <v/>
      </c>
      <c r="D311" s="2">
        <f>C311^2</f>
        <v/>
      </c>
      <c r="E311" s="2">
        <f>C311^3</f>
        <v/>
      </c>
      <c r="F311" s="2">
        <f>(C311 / $J$5)^3</f>
        <v/>
      </c>
      <c r="G311" s="2">
        <f>(C311 / $J$5)^4</f>
        <v/>
      </c>
    </row>
    <row r="312">
      <c r="A312" s="7" t="inlineStr">
        <is>
          <t>2026-07-08</t>
        </is>
      </c>
      <c r="B312" s="2" t="n">
        <v>0.1107611656188964</v>
      </c>
      <c r="C312" s="2">
        <f>B312 - $J$3</f>
        <v/>
      </c>
      <c r="D312" s="2">
        <f>C312^2</f>
        <v/>
      </c>
      <c r="E312" s="2">
        <f>C312^3</f>
        <v/>
      </c>
      <c r="F312" s="2">
        <f>(C312 / $J$5)^3</f>
        <v/>
      </c>
      <c r="G312" s="2">
        <f>(C312 / $J$5)^4</f>
        <v/>
      </c>
    </row>
    <row r="313">
      <c r="A313" s="7" t="inlineStr">
        <is>
          <t>2026-07-09</t>
        </is>
      </c>
      <c r="B313" s="2" t="n">
        <v>0.1202466785907745</v>
      </c>
      <c r="C313" s="2">
        <f>B313 - $J$3</f>
        <v/>
      </c>
      <c r="D313" s="2">
        <f>C313^2</f>
        <v/>
      </c>
      <c r="E313" s="2">
        <f>C313^3</f>
        <v/>
      </c>
      <c r="F313" s="2">
        <f>(C313 / $J$5)^3</f>
        <v/>
      </c>
      <c r="G313" s="2">
        <f>(C313 / $J$5)^4</f>
        <v/>
      </c>
    </row>
    <row r="314">
      <c r="A314" s="7" t="inlineStr">
        <is>
          <t>2026-07-10</t>
        </is>
      </c>
      <c r="B314" s="2" t="n">
        <v>0.1112540885806083</v>
      </c>
      <c r="C314" s="2">
        <f>B314 - $J$3</f>
        <v/>
      </c>
      <c r="D314" s="2">
        <f>C314^2</f>
        <v/>
      </c>
      <c r="E314" s="2">
        <f>C314^3</f>
        <v/>
      </c>
      <c r="F314" s="2">
        <f>(C314 / $J$5)^3</f>
        <v/>
      </c>
      <c r="G314" s="2">
        <f>(C314 / $J$5)^4</f>
        <v/>
      </c>
    </row>
    <row r="315">
      <c r="A315" s="7" t="inlineStr">
        <is>
          <t>2026-07-11</t>
        </is>
      </c>
      <c r="B315" s="2" t="n">
        <v>0.1139901280403137</v>
      </c>
      <c r="C315" s="2">
        <f>B315 - $J$3</f>
        <v/>
      </c>
      <c r="D315" s="2">
        <f>C315^2</f>
        <v/>
      </c>
      <c r="E315" s="2">
        <f>C315^3</f>
        <v/>
      </c>
      <c r="F315" s="2">
        <f>(C315 / $J$5)^3</f>
        <v/>
      </c>
      <c r="G315" s="2">
        <f>(C315 / $J$5)^4</f>
        <v/>
      </c>
    </row>
    <row r="316">
      <c r="A316" s="7" t="inlineStr">
        <is>
          <t>2026-07-12</t>
        </is>
      </c>
      <c r="B316" s="2" t="n">
        <v>0.1131436005234718</v>
      </c>
      <c r="C316" s="2">
        <f>B316 - $J$3</f>
        <v/>
      </c>
      <c r="D316" s="2">
        <f>C316^2</f>
        <v/>
      </c>
      <c r="E316" s="2">
        <f>C316^3</f>
        <v/>
      </c>
      <c r="F316" s="2">
        <f>(C316 / $J$5)^3</f>
        <v/>
      </c>
      <c r="G316" s="2">
        <f>(C316 / $J$5)^4</f>
        <v/>
      </c>
    </row>
    <row r="317">
      <c r="A317" s="7" t="inlineStr">
        <is>
          <t>2026-07-14</t>
        </is>
      </c>
      <c r="B317" s="2" t="n">
        <v>0.1139941588044166</v>
      </c>
      <c r="C317" s="2">
        <f>B317 - $J$3</f>
        <v/>
      </c>
      <c r="D317" s="2">
        <f>C317^2</f>
        <v/>
      </c>
      <c r="E317" s="2">
        <f>C317^3</f>
        <v/>
      </c>
      <c r="F317" s="2">
        <f>(C317 / $J$5)^3</f>
        <v/>
      </c>
      <c r="G317" s="2">
        <f>(C317 / $J$5)^4</f>
        <v/>
      </c>
    </row>
    <row r="318">
      <c r="A318" s="7" t="inlineStr">
        <is>
          <t>2026-07-15</t>
        </is>
      </c>
      <c r="B318" s="2" t="n">
        <v>0.1154830977320671</v>
      </c>
      <c r="C318" s="2">
        <f>B318 - $J$3</f>
        <v/>
      </c>
      <c r="D318" s="2">
        <f>C318^2</f>
        <v/>
      </c>
      <c r="E318" s="2">
        <f>C318^3</f>
        <v/>
      </c>
      <c r="F318" s="2">
        <f>(C318 / $J$5)^3</f>
        <v/>
      </c>
      <c r="G318" s="2">
        <f>(C318 / $J$5)^4</f>
        <v/>
      </c>
    </row>
    <row r="319">
      <c r="A319" s="7" t="inlineStr">
        <is>
          <t>2026-07-16</t>
        </is>
      </c>
      <c r="B319" s="2" t="n">
        <v>0.1182436943054199</v>
      </c>
      <c r="C319" s="2">
        <f>B319 - $J$3</f>
        <v/>
      </c>
      <c r="D319" s="2">
        <f>C319^2</f>
        <v/>
      </c>
      <c r="E319" s="2">
        <f>C319^3</f>
        <v/>
      </c>
      <c r="F319" s="2">
        <f>(C319 / $J$5)^3</f>
        <v/>
      </c>
      <c r="G319" s="2">
        <f>(C319 / $J$5)^4</f>
        <v/>
      </c>
    </row>
    <row r="320">
      <c r="A320" s="7" t="inlineStr">
        <is>
          <t>2026-07-17</t>
        </is>
      </c>
      <c r="B320" s="2" t="n">
        <v>0.1163382828235626</v>
      </c>
      <c r="C320" s="2">
        <f>B320 - $J$3</f>
        <v/>
      </c>
      <c r="D320" s="2">
        <f>C320^2</f>
        <v/>
      </c>
      <c r="E320" s="2">
        <f>C320^3</f>
        <v/>
      </c>
      <c r="F320" s="2">
        <f>(C320 / $J$5)^3</f>
        <v/>
      </c>
      <c r="G320" s="2">
        <f>(C320 / $J$5)^4</f>
        <v/>
      </c>
    </row>
    <row r="321">
      <c r="A321" s="7" t="inlineStr">
        <is>
          <t>2026-07-18</t>
        </is>
      </c>
      <c r="B321" s="2" t="n">
        <v>0.1157911345362663</v>
      </c>
      <c r="C321" s="2">
        <f>B321 - $J$3</f>
        <v/>
      </c>
      <c r="D321" s="2">
        <f>C321^2</f>
        <v/>
      </c>
      <c r="E321" s="2">
        <f>C321^3</f>
        <v/>
      </c>
      <c r="F321" s="2">
        <f>(C321 / $J$5)^3</f>
        <v/>
      </c>
      <c r="G321" s="2">
        <f>(C321 / $J$5)^4</f>
        <v/>
      </c>
    </row>
    <row r="322">
      <c r="A322" s="7" t="inlineStr">
        <is>
          <t>2026-07-19</t>
        </is>
      </c>
      <c r="B322" s="2" t="n">
        <v>0.1157897189259529</v>
      </c>
      <c r="C322" s="2">
        <f>B322 - $J$3</f>
        <v/>
      </c>
      <c r="D322" s="2">
        <f>C322^2</f>
        <v/>
      </c>
      <c r="E322" s="2">
        <f>C322^3</f>
        <v/>
      </c>
      <c r="F322" s="2">
        <f>(C322 / $J$5)^3</f>
        <v/>
      </c>
      <c r="G322" s="2">
        <f>(C322 / $J$5)^4</f>
        <v/>
      </c>
    </row>
    <row r="323">
      <c r="A323" s="7" t="inlineStr">
        <is>
          <t>2026-07-20</t>
        </is>
      </c>
      <c r="B323" s="2" t="n">
        <v>0.1130406633019447</v>
      </c>
      <c r="C323" s="2">
        <f>B323 - $J$3</f>
        <v/>
      </c>
      <c r="D323" s="2">
        <f>C323^2</f>
        <v/>
      </c>
      <c r="E323" s="2">
        <f>C323^3</f>
        <v/>
      </c>
      <c r="F323" s="2">
        <f>(C323 / $J$5)^3</f>
        <v/>
      </c>
      <c r="G323" s="2">
        <f>(C323 / $J$5)^4</f>
        <v/>
      </c>
    </row>
    <row r="324">
      <c r="A324" s="7" t="inlineStr">
        <is>
          <t>2026-07-21</t>
        </is>
      </c>
      <c r="B324" s="2" t="n">
        <v>0.1123597100377082</v>
      </c>
      <c r="C324" s="2">
        <f>B324 - $J$3</f>
        <v/>
      </c>
      <c r="D324" s="2">
        <f>C324^2</f>
        <v/>
      </c>
      <c r="E324" s="2">
        <f>C324^3</f>
        <v/>
      </c>
      <c r="F324" s="2">
        <f>(C324 / $J$5)^3</f>
        <v/>
      </c>
      <c r="G324" s="2">
        <f>(C324 / $J$5)^4</f>
        <v/>
      </c>
    </row>
    <row r="325">
      <c r="A325" s="7" t="inlineStr">
        <is>
          <t>2026-07-22</t>
        </is>
      </c>
      <c r="B325" s="2" t="n">
        <v>0.118657186627388</v>
      </c>
      <c r="C325" s="2">
        <f>B325 - $J$3</f>
        <v/>
      </c>
      <c r="D325" s="2">
        <f>C325^2</f>
        <v/>
      </c>
      <c r="E325" s="2">
        <f>C325^3</f>
        <v/>
      </c>
      <c r="F325" s="2">
        <f>(C325 / $J$5)^3</f>
        <v/>
      </c>
      <c r="G325" s="2">
        <f>(C325 / $J$5)^4</f>
        <v/>
      </c>
    </row>
    <row r="326">
      <c r="A326" s="7" t="inlineStr">
        <is>
          <t>2026-07-23</t>
        </is>
      </c>
      <c r="B326" s="2" t="n">
        <v>0.1185918375849723</v>
      </c>
      <c r="C326" s="2">
        <f>B326 - $J$3</f>
        <v/>
      </c>
      <c r="D326" s="2">
        <f>C326^2</f>
        <v/>
      </c>
      <c r="E326" s="2">
        <f>C326^3</f>
        <v/>
      </c>
      <c r="F326" s="2">
        <f>(C326 / $J$5)^3</f>
        <v/>
      </c>
      <c r="G326" s="2">
        <f>(C326 / $J$5)^4</f>
        <v/>
      </c>
    </row>
    <row r="327">
      <c r="A327" s="7" t="inlineStr">
        <is>
          <t>2026-07-24</t>
        </is>
      </c>
      <c r="B327" s="2" t="n">
        <v>0.1170957460999488</v>
      </c>
      <c r="C327" s="2">
        <f>B327 - $J$3</f>
        <v/>
      </c>
      <c r="D327" s="2">
        <f>C327^2</f>
        <v/>
      </c>
      <c r="E327" s="2">
        <f>C327^3</f>
        <v/>
      </c>
      <c r="F327" s="2">
        <f>(C327 / $J$5)^3</f>
        <v/>
      </c>
      <c r="G327" s="2">
        <f>(C327 / $J$5)^4</f>
        <v/>
      </c>
    </row>
    <row r="328">
      <c r="A328" s="7" t="inlineStr">
        <is>
          <t>2026-07-25</t>
        </is>
      </c>
      <c r="B328" s="2" t="n">
        <v>0.1170622855424881</v>
      </c>
      <c r="C328" s="2">
        <f>B328 - $J$3</f>
        <v/>
      </c>
      <c r="D328" s="2">
        <f>C328^2</f>
        <v/>
      </c>
      <c r="E328" s="2">
        <f>C328^3</f>
        <v/>
      </c>
      <c r="F328" s="2">
        <f>(C328 / $J$5)^3</f>
        <v/>
      </c>
      <c r="G328" s="2">
        <f>(C328 / $J$5)^4</f>
        <v/>
      </c>
    </row>
    <row r="329">
      <c r="A329" s="7" t="inlineStr">
        <is>
          <t>2026-07-26</t>
        </is>
      </c>
      <c r="B329" s="2" t="n">
        <v>0.1184447780251503</v>
      </c>
      <c r="C329" s="2">
        <f>B329 - $J$3</f>
        <v/>
      </c>
      <c r="D329" s="2">
        <f>C329^2</f>
        <v/>
      </c>
      <c r="E329" s="2">
        <f>C329^3</f>
        <v/>
      </c>
      <c r="F329" s="2">
        <f>(C329 / $J$5)^3</f>
        <v/>
      </c>
      <c r="G329" s="2">
        <f>(C329 / $J$5)^4</f>
        <v/>
      </c>
    </row>
    <row r="330">
      <c r="A330" s="7" t="inlineStr">
        <is>
          <t>2026-07-27</t>
        </is>
      </c>
      <c r="B330" s="2" t="n">
        <v>0.1178664863109588</v>
      </c>
      <c r="C330" s="2">
        <f>B330 - $J$3</f>
        <v/>
      </c>
      <c r="D330" s="2">
        <f>C330^2</f>
        <v/>
      </c>
      <c r="E330" s="2">
        <f>C330^3</f>
        <v/>
      </c>
      <c r="F330" s="2">
        <f>(C330 / $J$5)^3</f>
        <v/>
      </c>
      <c r="G330" s="2">
        <f>(C330 / $J$5)^4</f>
        <v/>
      </c>
    </row>
    <row r="331">
      <c r="A331" s="7" t="inlineStr">
        <is>
          <t>2026-07-28</t>
        </is>
      </c>
      <c r="B331" s="2" t="n">
        <v>0.1140104383230209</v>
      </c>
      <c r="C331" s="2">
        <f>B331 - $J$3</f>
        <v/>
      </c>
      <c r="D331" s="2">
        <f>C331^2</f>
        <v/>
      </c>
      <c r="E331" s="2">
        <f>C331^3</f>
        <v/>
      </c>
      <c r="F331" s="2">
        <f>(C331 / $J$5)^3</f>
        <v/>
      </c>
      <c r="G331" s="2">
        <f>(C331 / $J$5)^4</f>
        <v/>
      </c>
    </row>
    <row r="332">
      <c r="A332" s="7" t="inlineStr">
        <is>
          <t>2026-07-29</t>
        </is>
      </c>
      <c r="B332" s="2" t="n">
        <v>0.1182538941502571</v>
      </c>
      <c r="C332" s="2">
        <f>B332 - $J$3</f>
        <v/>
      </c>
      <c r="D332" s="2">
        <f>C332^2</f>
        <v/>
      </c>
      <c r="E332" s="2">
        <f>C332^3</f>
        <v/>
      </c>
      <c r="F332" s="2">
        <f>(C332 / $J$5)^3</f>
        <v/>
      </c>
      <c r="G332" s="2">
        <f>(C332 / $J$5)^4</f>
        <v/>
      </c>
    </row>
    <row r="333">
      <c r="A333" s="7" t="inlineStr">
        <is>
          <t>2026-07-30</t>
        </is>
      </c>
      <c r="B333" s="2" t="n">
        <v>0.1138048693537712</v>
      </c>
      <c r="C333" s="2">
        <f>B333 - $J$3</f>
        <v/>
      </c>
      <c r="D333" s="2">
        <f>C333^2</f>
        <v/>
      </c>
      <c r="E333" s="2">
        <f>C333^3</f>
        <v/>
      </c>
      <c r="F333" s="2">
        <f>(C333 / $J$5)^3</f>
        <v/>
      </c>
      <c r="G333" s="2">
        <f>(C333 / $J$5)^4</f>
        <v/>
      </c>
    </row>
    <row r="334">
      <c r="A334" s="7" t="inlineStr">
        <is>
          <t>2026-07-31</t>
        </is>
      </c>
      <c r="B334" s="2" t="n">
        <v>0.1102070957422256</v>
      </c>
      <c r="C334" s="2">
        <f>B334 - $J$3</f>
        <v/>
      </c>
      <c r="D334" s="2">
        <f>C334^2</f>
        <v/>
      </c>
      <c r="E334" s="2">
        <f>C334^3</f>
        <v/>
      </c>
      <c r="F334" s="2">
        <f>(C334 / $J$5)^3</f>
        <v/>
      </c>
      <c r="G334" s="2">
        <f>(C334 / $J$5)^4</f>
        <v/>
      </c>
    </row>
    <row r="335">
      <c r="A335" s="7" t="inlineStr">
        <is>
          <t>2026-08-02</t>
        </is>
      </c>
      <c r="B335" s="2" t="n">
        <v>0.1105026602745056</v>
      </c>
      <c r="C335" s="2">
        <f>B335 - $J$3</f>
        <v/>
      </c>
      <c r="D335" s="2">
        <f>C335^2</f>
        <v/>
      </c>
      <c r="E335" s="2">
        <f>C335^3</f>
        <v/>
      </c>
      <c r="F335" s="2">
        <f>(C335 / $J$5)^3</f>
        <v/>
      </c>
      <c r="G335" s="2">
        <f>(C335 / $J$5)^4</f>
        <v/>
      </c>
    </row>
    <row r="336">
      <c r="A336" s="7" t="inlineStr">
        <is>
          <t>2026-08-03</t>
        </is>
      </c>
      <c r="B336" s="2" t="n">
        <v>0.1114879250526428</v>
      </c>
      <c r="C336" s="2">
        <f>B336 - $J$3</f>
        <v/>
      </c>
      <c r="D336" s="2">
        <f>C336^2</f>
        <v/>
      </c>
      <c r="E336" s="2">
        <f>C336^3</f>
        <v/>
      </c>
      <c r="F336" s="2">
        <f>(C336 / $J$5)^3</f>
        <v/>
      </c>
      <c r="G336" s="2">
        <f>(C336 / $J$5)^4</f>
        <v/>
      </c>
    </row>
    <row r="337">
      <c r="A337" s="7" t="inlineStr">
        <is>
          <t>2026-08-04</t>
        </is>
      </c>
      <c r="B337" s="2" t="n">
        <v>0.1131251081824302</v>
      </c>
      <c r="C337" s="2">
        <f>B337 - $J$3</f>
        <v/>
      </c>
      <c r="D337" s="2">
        <f>C337^2</f>
        <v/>
      </c>
      <c r="E337" s="2">
        <f>C337^3</f>
        <v/>
      </c>
      <c r="F337" s="2">
        <f>(C337 / $J$5)^3</f>
        <v/>
      </c>
      <c r="G337" s="2">
        <f>(C337 / $J$5)^4</f>
        <v/>
      </c>
    </row>
    <row r="338">
      <c r="A338" s="7" t="inlineStr">
        <is>
          <t>2026-08-05</t>
        </is>
      </c>
      <c r="B338" s="2" t="n">
        <v>0.1126147583127021</v>
      </c>
      <c r="C338" s="2">
        <f>B338 - $J$3</f>
        <v/>
      </c>
      <c r="D338" s="2">
        <f>C338^2</f>
        <v/>
      </c>
      <c r="E338" s="2">
        <f>C338^3</f>
        <v/>
      </c>
      <c r="F338" s="2">
        <f>(C338 / $J$5)^3</f>
        <v/>
      </c>
      <c r="G338" s="2">
        <f>(C338 / $J$5)^4</f>
        <v/>
      </c>
    </row>
    <row r="339">
      <c r="A339" s="7" t="inlineStr">
        <is>
          <t>2026-08-06</t>
        </is>
      </c>
      <c r="B339" s="2" t="n">
        <v>0.1135195195674896</v>
      </c>
      <c r="C339" s="2">
        <f>B339 - $J$3</f>
        <v/>
      </c>
      <c r="D339" s="2">
        <f>C339^2</f>
        <v/>
      </c>
      <c r="E339" s="2">
        <f>C339^3</f>
        <v/>
      </c>
      <c r="F339" s="2">
        <f>(C339 / $J$5)^3</f>
        <v/>
      </c>
      <c r="G339" s="2">
        <f>(C339 / $J$5)^4</f>
        <v/>
      </c>
    </row>
    <row r="340">
      <c r="A340" s="7" t="inlineStr">
        <is>
          <t>2026-08-07</t>
        </is>
      </c>
      <c r="B340" s="2" t="n">
        <v>0.1172331348061561</v>
      </c>
      <c r="C340" s="2">
        <f>B340 - $J$3</f>
        <v/>
      </c>
      <c r="D340" s="2">
        <f>C340^2</f>
        <v/>
      </c>
      <c r="E340" s="2">
        <f>C340^3</f>
        <v/>
      </c>
      <c r="F340" s="2">
        <f>(C340 / $J$5)^3</f>
        <v/>
      </c>
      <c r="G340" s="2">
        <f>(C340 / $J$5)^4</f>
        <v/>
      </c>
    </row>
    <row r="341">
      <c r="A341" s="7" t="inlineStr">
        <is>
          <t>2026-08-08</t>
        </is>
      </c>
      <c r="B341" s="2" t="n">
        <v>0.1206436678767204</v>
      </c>
      <c r="C341" s="2">
        <f>B341 - $J$3</f>
        <v/>
      </c>
      <c r="D341" s="2">
        <f>C341^2</f>
        <v/>
      </c>
      <c r="E341" s="2">
        <f>C341^3</f>
        <v/>
      </c>
      <c r="F341" s="2">
        <f>(C341 / $J$5)^3</f>
        <v/>
      </c>
      <c r="G341" s="2">
        <f>(C341 / $J$5)^4</f>
        <v/>
      </c>
    </row>
    <row r="342">
      <c r="A342" s="7" t="inlineStr">
        <is>
          <t>2026-08-09</t>
        </is>
      </c>
      <c r="B342" s="2" t="n">
        <v>0.1209779232740402</v>
      </c>
      <c r="C342" s="2">
        <f>B342 - $J$3</f>
        <v/>
      </c>
      <c r="D342" s="2">
        <f>C342^2</f>
        <v/>
      </c>
      <c r="E342" s="2">
        <f>C342^3</f>
        <v/>
      </c>
      <c r="F342" s="2">
        <f>(C342 / $J$5)^3</f>
        <v/>
      </c>
      <c r="G342" s="2">
        <f>(C342 / $J$5)^4</f>
        <v/>
      </c>
    </row>
    <row r="343">
      <c r="A343" s="7" t="inlineStr">
        <is>
          <t>2026-08-10</t>
        </is>
      </c>
      <c r="B343" s="2" t="n">
        <v>0.1205164566636085</v>
      </c>
      <c r="C343" s="2">
        <f>B343 - $J$3</f>
        <v/>
      </c>
      <c r="D343" s="2">
        <f>C343^2</f>
        <v/>
      </c>
      <c r="E343" s="2">
        <f>C343^3</f>
        <v/>
      </c>
      <c r="F343" s="2">
        <f>(C343 / $J$5)^3</f>
        <v/>
      </c>
      <c r="G343" s="2">
        <f>(C343 / $J$5)^4</f>
        <v/>
      </c>
    </row>
    <row r="344">
      <c r="A344" s="7" t="inlineStr">
        <is>
          <t>2026-08-11</t>
        </is>
      </c>
      <c r="B344" s="2" t="n">
        <v>0.1154312714934349</v>
      </c>
      <c r="C344" s="2">
        <f>B344 - $J$3</f>
        <v/>
      </c>
      <c r="D344" s="2">
        <f>C344^2</f>
        <v/>
      </c>
      <c r="E344" s="2">
        <f>C344^3</f>
        <v/>
      </c>
      <c r="F344" s="2">
        <f>(C344 / $J$5)^3</f>
        <v/>
      </c>
      <c r="G344" s="2">
        <f>(C344 / $J$5)^4</f>
        <v/>
      </c>
    </row>
    <row r="345">
      <c r="A345" s="7" t="inlineStr">
        <is>
          <t>2026-08-12</t>
        </is>
      </c>
      <c r="B345" s="2" t="n">
        <v>0.1202996894717216</v>
      </c>
      <c r="C345" s="2">
        <f>B345 - $J$3</f>
        <v/>
      </c>
      <c r="D345" s="2">
        <f>C345^2</f>
        <v/>
      </c>
      <c r="E345" s="2">
        <f>C345^3</f>
        <v/>
      </c>
      <c r="F345" s="2">
        <f>(C345 / $J$5)^3</f>
        <v/>
      </c>
      <c r="G345" s="2">
        <f>(C345 / $J$5)^4</f>
        <v/>
      </c>
    </row>
    <row r="346">
      <c r="A346" s="7" t="inlineStr">
        <is>
          <t>2026-08-13</t>
        </is>
      </c>
      <c r="B346" s="2" t="n">
        <v>0.1147382333874702</v>
      </c>
      <c r="C346" s="2">
        <f>B346 - $J$3</f>
        <v/>
      </c>
      <c r="D346" s="2">
        <f>C346^2</f>
        <v/>
      </c>
      <c r="E346" s="2">
        <f>C346^3</f>
        <v/>
      </c>
      <c r="F346" s="2">
        <f>(C346 / $J$5)^3</f>
        <v/>
      </c>
      <c r="G346" s="2">
        <f>(C346 / $J$5)^4</f>
        <v/>
      </c>
    </row>
    <row r="347">
      <c r="A347" s="7" t="inlineStr">
        <is>
          <t>2026-08-14</t>
        </is>
      </c>
      <c r="B347" s="2" t="n">
        <v>0.1200190111994743</v>
      </c>
      <c r="C347" s="2">
        <f>B347 - $J$3</f>
        <v/>
      </c>
      <c r="D347" s="2">
        <f>C347^2</f>
        <v/>
      </c>
      <c r="E347" s="2">
        <f>C347^3</f>
        <v/>
      </c>
      <c r="F347" s="2">
        <f>(C347 / $J$5)^3</f>
        <v/>
      </c>
      <c r="G347" s="2">
        <f>(C347 / $J$5)^4</f>
        <v/>
      </c>
    </row>
    <row r="348">
      <c r="A348" s="7" t="inlineStr">
        <is>
          <t>2026-08-15</t>
        </is>
      </c>
      <c r="B348" s="2" t="n">
        <v>0.1175233796238899</v>
      </c>
      <c r="C348" s="2">
        <f>B348 - $J$3</f>
        <v/>
      </c>
      <c r="D348" s="2">
        <f>C348^2</f>
        <v/>
      </c>
      <c r="E348" s="2">
        <f>C348^3</f>
        <v/>
      </c>
      <c r="F348" s="2">
        <f>(C348 / $J$5)^3</f>
        <v/>
      </c>
      <c r="G348" s="2">
        <f>(C348 / $J$5)^4</f>
        <v/>
      </c>
    </row>
    <row r="349">
      <c r="A349" s="7" t="inlineStr">
        <is>
          <t>2026-08-16</t>
        </is>
      </c>
      <c r="B349" s="2" t="n">
        <v>0.1144198775291442</v>
      </c>
      <c r="C349" s="2">
        <f>B349 - $J$3</f>
        <v/>
      </c>
      <c r="D349" s="2">
        <f>C349^2</f>
        <v/>
      </c>
      <c r="E349" s="2">
        <f>C349^3</f>
        <v/>
      </c>
      <c r="F349" s="2">
        <f>(C349 / $J$5)^3</f>
        <v/>
      </c>
      <c r="G349" s="2">
        <f>(C349 / $J$5)^4</f>
        <v/>
      </c>
    </row>
    <row r="350">
      <c r="A350" s="7" t="inlineStr">
        <is>
          <t>2026-08-17</t>
        </is>
      </c>
      <c r="B350" s="2" t="n">
        <v>0.1169397607445716</v>
      </c>
      <c r="C350" s="2">
        <f>B350 - $J$3</f>
        <v/>
      </c>
      <c r="D350" s="2">
        <f>C350^2</f>
        <v/>
      </c>
      <c r="E350" s="2">
        <f>C350^3</f>
        <v/>
      </c>
      <c r="F350" s="2">
        <f>(C350 / $J$5)^3</f>
        <v/>
      </c>
      <c r="G350" s="2">
        <f>(C350 / $J$5)^4</f>
        <v/>
      </c>
    </row>
    <row r="351">
      <c r="A351" s="7" t="inlineStr">
        <is>
          <t>2026-08-18</t>
        </is>
      </c>
      <c r="B351" s="2" t="n">
        <v>0.1185061484575271</v>
      </c>
      <c r="C351" s="2">
        <f>B351 - $J$3</f>
        <v/>
      </c>
      <c r="D351" s="2">
        <f>C351^2</f>
        <v/>
      </c>
      <c r="E351" s="2">
        <f>C351^3</f>
        <v/>
      </c>
      <c r="F351" s="2">
        <f>(C351 / $J$5)^3</f>
        <v/>
      </c>
      <c r="G351" s="2">
        <f>(C351 / $J$5)^4</f>
        <v/>
      </c>
    </row>
    <row r="352">
      <c r="A352" s="7" t="inlineStr">
        <is>
          <t>2026-08-19</t>
        </is>
      </c>
      <c r="B352" s="2" t="n">
        <v>0.1183477491140365</v>
      </c>
      <c r="C352" s="2">
        <f>B352 - $J$3</f>
        <v/>
      </c>
      <c r="D352" s="2">
        <f>C352^2</f>
        <v/>
      </c>
      <c r="E352" s="2">
        <f>C352^3</f>
        <v/>
      </c>
      <c r="F352" s="2">
        <f>(C352 / $J$5)^3</f>
        <v/>
      </c>
      <c r="G352" s="2">
        <f>(C352 / $J$5)^4</f>
        <v/>
      </c>
    </row>
    <row r="353">
      <c r="A353" s="7" t="inlineStr">
        <is>
          <t>2026-08-20</t>
        </is>
      </c>
      <c r="B353" s="2" t="n">
        <v>0.1169985607266426</v>
      </c>
      <c r="C353" s="2">
        <f>B353 - $J$3</f>
        <v/>
      </c>
      <c r="D353" s="2">
        <f>C353^2</f>
        <v/>
      </c>
      <c r="E353" s="2">
        <f>C353^3</f>
        <v/>
      </c>
      <c r="F353" s="2">
        <f>(C353 / $J$5)^3</f>
        <v/>
      </c>
      <c r="G353" s="2">
        <f>(C353 / $J$5)^4</f>
        <v/>
      </c>
    </row>
    <row r="354">
      <c r="A354" s="7" t="inlineStr">
        <is>
          <t>2026-08-21</t>
        </is>
      </c>
      <c r="B354" s="2" t="n">
        <v>0.1206078827381134</v>
      </c>
      <c r="C354" s="2">
        <f>B354 - $J$3</f>
        <v/>
      </c>
      <c r="D354" s="2">
        <f>C354^2</f>
        <v/>
      </c>
      <c r="E354" s="2">
        <f>C354^3</f>
        <v/>
      </c>
      <c r="F354" s="2">
        <f>(C354 / $J$5)^3</f>
        <v/>
      </c>
      <c r="G354" s="2">
        <f>(C354 / $J$5)^4</f>
        <v/>
      </c>
    </row>
    <row r="355">
      <c r="A355" s="7" t="inlineStr">
        <is>
          <t>2026-08-22</t>
        </is>
      </c>
      <c r="B355" s="2" t="n">
        <v>0.1166615858674049</v>
      </c>
      <c r="C355" s="2">
        <f>B355 - $J$3</f>
        <v/>
      </c>
      <c r="D355" s="2">
        <f>C355^2</f>
        <v/>
      </c>
      <c r="E355" s="2">
        <f>C355^3</f>
        <v/>
      </c>
      <c r="F355" s="2">
        <f>(C355 / $J$5)^3</f>
        <v/>
      </c>
      <c r="G355" s="2">
        <f>(C355 / $J$5)^4</f>
        <v/>
      </c>
    </row>
    <row r="356">
      <c r="A356" s="7" t="inlineStr">
        <is>
          <t>2026-08-23</t>
        </is>
      </c>
      <c r="B356" s="2" t="n">
        <v>0.1193541884422302</v>
      </c>
      <c r="C356" s="2">
        <f>B356 - $J$3</f>
        <v/>
      </c>
      <c r="D356" s="2">
        <f>C356^2</f>
        <v/>
      </c>
      <c r="E356" s="2">
        <f>C356^3</f>
        <v/>
      </c>
      <c r="F356" s="2">
        <f>(C356 / $J$5)^3</f>
        <v/>
      </c>
      <c r="G356" s="2">
        <f>(C356 / $J$5)^4</f>
        <v/>
      </c>
    </row>
    <row r="357">
      <c r="A357" s="7" t="inlineStr">
        <is>
          <t>2026-08-24</t>
        </is>
      </c>
      <c r="B357" s="2" t="n">
        <v>0.1162292435765266</v>
      </c>
      <c r="C357" s="2">
        <f>B357 - $J$3</f>
        <v/>
      </c>
      <c r="D357" s="2">
        <f>C357^2</f>
        <v/>
      </c>
      <c r="E357" s="2">
        <f>C357^3</f>
        <v/>
      </c>
      <c r="F357" s="2">
        <f>(C357 / $J$5)^3</f>
        <v/>
      </c>
      <c r="G357" s="2">
        <f>(C357 / $J$5)^4</f>
        <v/>
      </c>
    </row>
    <row r="358">
      <c r="A358" s="7" t="inlineStr">
        <is>
          <t>2026-08-25</t>
        </is>
      </c>
      <c r="B358" s="2" t="n">
        <v>0.1175799965858459</v>
      </c>
      <c r="C358" s="2">
        <f>B358 - $J$3</f>
        <v/>
      </c>
      <c r="D358" s="2">
        <f>C358^2</f>
        <v/>
      </c>
      <c r="E358" s="2">
        <f>C358^3</f>
        <v/>
      </c>
      <c r="F358" s="2">
        <f>(C358 / $J$5)^3</f>
        <v/>
      </c>
      <c r="G358" s="2">
        <f>(C358 / $J$5)^4</f>
        <v/>
      </c>
    </row>
    <row r="359">
      <c r="A359" s="7" t="inlineStr">
        <is>
          <t>2026-08-26</t>
        </is>
      </c>
      <c r="B359" s="2" t="n">
        <v>0.1190015897154808</v>
      </c>
      <c r="C359" s="2">
        <f>B359 - $J$3</f>
        <v/>
      </c>
      <c r="D359" s="2">
        <f>C359^2</f>
        <v/>
      </c>
      <c r="E359" s="2">
        <f>C359^3</f>
        <v/>
      </c>
      <c r="F359" s="2">
        <f>(C359 / $J$5)^3</f>
        <v/>
      </c>
      <c r="G359" s="2">
        <f>(C359 / $J$5)^4</f>
        <v/>
      </c>
    </row>
    <row r="360">
      <c r="A360" s="7" t="inlineStr">
        <is>
          <t>2026-08-27</t>
        </is>
      </c>
      <c r="B360" s="2" t="n">
        <v>0.1189477816224098</v>
      </c>
      <c r="C360" s="2">
        <f>B360 - $J$3</f>
        <v/>
      </c>
      <c r="D360" s="2">
        <f>C360^2</f>
        <v/>
      </c>
      <c r="E360" s="2">
        <f>C360^3</f>
        <v/>
      </c>
      <c r="F360" s="2">
        <f>(C360 / $J$5)^3</f>
        <v/>
      </c>
      <c r="G360" s="2">
        <f>(C360 / $J$5)^4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1" customWidth="1" min="4" max="4"/>
    <col width="11" customWidth="1" min="5" max="5"/>
    <col width="18" customWidth="1" min="6" max="6"/>
    <col width="18" customWidth="1" min="7" max="7"/>
    <col width="2" customWidth="1" min="8" max="8"/>
    <col width="23" customWidth="1" min="9" max="9"/>
    <col width="25" customWidth="1" min="10" max="10"/>
  </cols>
  <sheetData>
    <row r="1">
      <c r="A1" s="3" t="inlineStr">
        <is>
          <t>Perhitungan Manual Statistik Polutan: SO2</t>
        </is>
      </c>
    </row>
    <row r="2">
      <c r="I2" s="4" t="inlineStr">
        <is>
          <t>Count (n)</t>
        </is>
      </c>
      <c r="J2" s="5">
        <f>COUNT(B12:B130)</f>
        <v/>
      </c>
    </row>
    <row r="3">
      <c r="I3" s="4" t="inlineStr">
        <is>
          <t>Mean (x̄)</t>
        </is>
      </c>
      <c r="J3" s="5">
        <f>AVERAGE(B12:B130)</f>
        <v/>
      </c>
    </row>
    <row r="4">
      <c r="I4" s="4" t="inlineStr">
        <is>
          <t>Variansi (s²)</t>
        </is>
      </c>
      <c r="J4" s="5">
        <f>SUM(D12:D130) / (J2 - 1)</f>
        <v/>
      </c>
    </row>
    <row r="5">
      <c r="I5" s="4" t="inlineStr">
        <is>
          <t>Std Deviasi (s)</t>
        </is>
      </c>
      <c r="J5" s="5">
        <f>SQRT(J4)</f>
        <v/>
      </c>
    </row>
    <row r="6">
      <c r="I6" s="4" t="inlineStr">
        <is>
          <t>Sum ((x - x̄)/s)³</t>
        </is>
      </c>
      <c r="J6" s="5">
        <f>SUM(F12:F130)</f>
        <v/>
      </c>
    </row>
    <row r="7">
      <c r="I7" s="4" t="inlineStr">
        <is>
          <t>Sum ((x - x̄)/s)⁴</t>
        </is>
      </c>
      <c r="J7" s="5">
        <f>SUM(G12:G130)</f>
        <v/>
      </c>
    </row>
    <row r="8">
      <c r="I8" s="4" t="inlineStr">
        <is>
          <t>Skewness (Manual)</t>
        </is>
      </c>
      <c r="J8" s="5">
        <f>(J2 / ((J2 - 1) * (J2 - 2))) * J6</f>
        <v/>
      </c>
    </row>
    <row r="9">
      <c r="I9" s="4" t="inlineStr">
        <is>
          <t>Kurtosis (Manual)</t>
        </is>
      </c>
      <c r="J9" s="5">
        <f>(J2 * (J2 + 1) / ((J2 - 1) * (J2 - 2) * (J2 - 3))) * J7 - (3 * (J2 - 1)^2 / ((J2 - 2) * (J2 - 3)))</f>
        <v/>
      </c>
    </row>
    <row r="10">
      <c r="I10" s="4" t="inlineStr">
        <is>
          <t>Excel SKEW (Validasi)</t>
        </is>
      </c>
      <c r="J10" s="6">
        <f>SKEW(B12:B130)</f>
        <v/>
      </c>
    </row>
    <row r="11">
      <c r="A11" s="1" t="inlineStr">
        <is>
          <t>Date</t>
        </is>
      </c>
      <c r="B11" s="1" t="inlineStr">
        <is>
          <t>x (Nilai Polutan)</t>
        </is>
      </c>
      <c r="C11" s="1" t="inlineStr">
        <is>
          <t>Deviasi (x - x̄)</t>
        </is>
      </c>
      <c r="D11" s="1" t="inlineStr">
        <is>
          <t>(x - x̄)²</t>
        </is>
      </c>
      <c r="E11" s="1" t="inlineStr">
        <is>
          <t>(x - x̄)³</t>
        </is>
      </c>
      <c r="F11" s="1" t="inlineStr">
        <is>
          <t>((x - x̄)/s)³</t>
        </is>
      </c>
      <c r="G11" s="1" t="inlineStr">
        <is>
          <t>((x - x̄)/s)⁴</t>
        </is>
      </c>
      <c r="I11" s="4" t="inlineStr">
        <is>
          <t>Excel KURT (Validasi)</t>
        </is>
      </c>
      <c r="J11" s="6">
        <f>KURT(B12:B130)</f>
        <v/>
      </c>
    </row>
    <row r="12">
      <c r="A12" s="7" t="inlineStr">
        <is>
          <t>2025-08-27</t>
        </is>
      </c>
      <c r="B12" s="2" t="n">
        <v>-0.0001446864916943</v>
      </c>
      <c r="C12" s="2">
        <f>B12 - $J$3</f>
        <v/>
      </c>
      <c r="D12" s="2">
        <f>C12^2</f>
        <v/>
      </c>
      <c r="E12" s="2">
        <f>C12^3</f>
        <v/>
      </c>
      <c r="F12" s="2">
        <f>(C12 / $J$5)^3</f>
        <v/>
      </c>
      <c r="G12" s="2">
        <f>(C12 / $J$5)^4</f>
        <v/>
      </c>
    </row>
    <row r="13">
      <c r="A13" s="7" t="inlineStr">
        <is>
          <t>2025-08-29</t>
        </is>
      </c>
      <c r="B13" s="2" t="n">
        <v>0.0005398874054662</v>
      </c>
      <c r="C13" s="2">
        <f>B13 - $J$3</f>
        <v/>
      </c>
      <c r="D13" s="2">
        <f>C13^2</f>
        <v/>
      </c>
      <c r="E13" s="2">
        <f>C13^3</f>
        <v/>
      </c>
      <c r="F13" s="2">
        <f>(C13 / $J$5)^3</f>
        <v/>
      </c>
      <c r="G13" s="2">
        <f>(C13 / $J$5)^4</f>
        <v/>
      </c>
    </row>
    <row r="14">
      <c r="A14" s="7" t="inlineStr">
        <is>
          <t>2025-08-30</t>
        </is>
      </c>
      <c r="B14" s="2" t="n">
        <v>-8.493190398439765e-05</v>
      </c>
      <c r="C14" s="2">
        <f>B14 - $J$3</f>
        <v/>
      </c>
      <c r="D14" s="2">
        <f>C14^2</f>
        <v/>
      </c>
      <c r="E14" s="2">
        <f>C14^3</f>
        <v/>
      </c>
      <c r="F14" s="2">
        <f>(C14 / $J$5)^3</f>
        <v/>
      </c>
      <c r="G14" s="2">
        <f>(C14 / $J$5)^4</f>
        <v/>
      </c>
    </row>
    <row r="15">
      <c r="A15" s="7" t="inlineStr">
        <is>
          <t>2025-09-07</t>
        </is>
      </c>
      <c r="B15" s="2" t="n">
        <v>-2.862354995158966e-05</v>
      </c>
      <c r="C15" s="2">
        <f>B15 - $J$3</f>
        <v/>
      </c>
      <c r="D15" s="2">
        <f>C15^2</f>
        <v/>
      </c>
      <c r="E15" s="2">
        <f>C15^3</f>
        <v/>
      </c>
      <c r="F15" s="2">
        <f>(C15 / $J$5)^3</f>
        <v/>
      </c>
      <c r="G15" s="2">
        <f>(C15 / $J$5)^4</f>
        <v/>
      </c>
    </row>
    <row r="16">
      <c r="A16" s="7" t="inlineStr">
        <is>
          <t>2025-09-09</t>
        </is>
      </c>
      <c r="B16" s="2" t="n">
        <v>0.0002355936157982</v>
      </c>
      <c r="C16" s="2">
        <f>B16 - $J$3</f>
        <v/>
      </c>
      <c r="D16" s="2">
        <f>C16^2</f>
        <v/>
      </c>
      <c r="E16" s="2">
        <f>C16^3</f>
        <v/>
      </c>
      <c r="F16" s="2">
        <f>(C16 / $J$5)^3</f>
        <v/>
      </c>
      <c r="G16" s="2">
        <f>(C16 / $J$5)^4</f>
        <v/>
      </c>
    </row>
    <row r="17">
      <c r="A17" s="7" t="inlineStr">
        <is>
          <t>2025-09-18</t>
        </is>
      </c>
      <c r="B17" s="2" t="n">
        <v>-0.0003746730799321</v>
      </c>
      <c r="C17" s="2">
        <f>B17 - $J$3</f>
        <v/>
      </c>
      <c r="D17" s="2">
        <f>C17^2</f>
        <v/>
      </c>
      <c r="E17" s="2">
        <f>C17^3</f>
        <v/>
      </c>
      <c r="F17" s="2">
        <f>(C17 / $J$5)^3</f>
        <v/>
      </c>
      <c r="G17" s="2">
        <f>(C17 / $J$5)^4</f>
        <v/>
      </c>
    </row>
    <row r="18">
      <c r="A18" s="7" t="inlineStr">
        <is>
          <t>2025-09-21</t>
        </is>
      </c>
      <c r="B18" s="2" t="n">
        <v>-0.0005057877860963</v>
      </c>
      <c r="C18" s="2">
        <f>B18 - $J$3</f>
        <v/>
      </c>
      <c r="D18" s="2">
        <f>C18^2</f>
        <v/>
      </c>
      <c r="E18" s="2">
        <f>C18^3</f>
        <v/>
      </c>
      <c r="F18" s="2">
        <f>(C18 / $J$5)^3</f>
        <v/>
      </c>
      <c r="G18" s="2">
        <f>(C18 / $J$5)^4</f>
        <v/>
      </c>
    </row>
    <row r="19">
      <c r="A19" s="7" t="inlineStr">
        <is>
          <t>2025-09-22</t>
        </is>
      </c>
      <c r="B19" s="2" t="n">
        <v>0.0001513069000793</v>
      </c>
      <c r="C19" s="2">
        <f>B19 - $J$3</f>
        <v/>
      </c>
      <c r="D19" s="2">
        <f>C19^2</f>
        <v/>
      </c>
      <c r="E19" s="2">
        <f>C19^3</f>
        <v/>
      </c>
      <c r="F19" s="2">
        <f>(C19 / $J$5)^3</f>
        <v/>
      </c>
      <c r="G19" s="2">
        <f>(C19 / $J$5)^4</f>
        <v/>
      </c>
    </row>
    <row r="20">
      <c r="A20" s="7" t="inlineStr">
        <is>
          <t>2025-09-23</t>
        </is>
      </c>
      <c r="B20" s="2" t="n">
        <v>-3.862595985992812e-05</v>
      </c>
      <c r="C20" s="2">
        <f>B20 - $J$3</f>
        <v/>
      </c>
      <c r="D20" s="2">
        <f>C20^2</f>
        <v/>
      </c>
      <c r="E20" s="2">
        <f>C20^3</f>
        <v/>
      </c>
      <c r="F20" s="2">
        <f>(C20 / $J$5)^3</f>
        <v/>
      </c>
      <c r="G20" s="2">
        <f>(C20 / $J$5)^4</f>
        <v/>
      </c>
    </row>
    <row r="21">
      <c r="A21" s="7" t="inlineStr">
        <is>
          <t>2025-09-24</t>
        </is>
      </c>
      <c r="B21" s="2" t="n">
        <v>3.097902663284913e-06</v>
      </c>
      <c r="C21" s="2">
        <f>B21 - $J$3</f>
        <v/>
      </c>
      <c r="D21" s="2">
        <f>C21^2</f>
        <v/>
      </c>
      <c r="E21" s="2">
        <f>C21^3</f>
        <v/>
      </c>
      <c r="F21" s="2">
        <f>(C21 / $J$5)^3</f>
        <v/>
      </c>
      <c r="G21" s="2">
        <f>(C21 / $J$5)^4</f>
        <v/>
      </c>
    </row>
    <row r="22">
      <c r="A22" s="7" t="inlineStr">
        <is>
          <t>2025-09-25</t>
        </is>
      </c>
      <c r="B22" s="2" t="n">
        <v>4.164384517935105e-05</v>
      </c>
      <c r="C22" s="2">
        <f>B22 - $J$3</f>
        <v/>
      </c>
      <c r="D22" s="2">
        <f>C22^2</f>
        <v/>
      </c>
      <c r="E22" s="2">
        <f>C22^3</f>
        <v/>
      </c>
      <c r="F22" s="2">
        <f>(C22 / $J$5)^3</f>
        <v/>
      </c>
      <c r="G22" s="2">
        <f>(C22 / $J$5)^4</f>
        <v/>
      </c>
    </row>
    <row r="23">
      <c r="A23" s="7" t="inlineStr">
        <is>
          <t>2025-09-26</t>
        </is>
      </c>
      <c r="B23" s="2" t="n">
        <v>5.223665357334539e-05</v>
      </c>
      <c r="C23" s="2">
        <f>B23 - $J$3</f>
        <v/>
      </c>
      <c r="D23" s="2">
        <f>C23^2</f>
        <v/>
      </c>
      <c r="E23" s="2">
        <f>C23^3</f>
        <v/>
      </c>
      <c r="F23" s="2">
        <f>(C23 / $J$5)^3</f>
        <v/>
      </c>
      <c r="G23" s="2">
        <f>(C23 / $J$5)^4</f>
        <v/>
      </c>
    </row>
    <row r="24">
      <c r="A24" s="7" t="inlineStr">
        <is>
          <t>2025-09-27</t>
        </is>
      </c>
      <c r="B24" s="2" t="n">
        <v>-0.0001445171801606</v>
      </c>
      <c r="C24" s="2">
        <f>B24 - $J$3</f>
        <v/>
      </c>
      <c r="D24" s="2">
        <f>C24^2</f>
        <v/>
      </c>
      <c r="E24" s="2">
        <f>C24^3</f>
        <v/>
      </c>
      <c r="F24" s="2">
        <f>(C24 / $J$5)^3</f>
        <v/>
      </c>
      <c r="G24" s="2">
        <f>(C24 / $J$5)^4</f>
        <v/>
      </c>
    </row>
    <row r="25">
      <c r="A25" s="7" t="inlineStr">
        <is>
          <t>2025-10-04</t>
        </is>
      </c>
      <c r="B25" s="2" t="n">
        <v>-0.0001415801816619</v>
      </c>
      <c r="C25" s="2">
        <f>B25 - $J$3</f>
        <v/>
      </c>
      <c r="D25" s="2">
        <f>C25^2</f>
        <v/>
      </c>
      <c r="E25" s="2">
        <f>C25^3</f>
        <v/>
      </c>
      <c r="F25" s="2">
        <f>(C25 / $J$5)^3</f>
        <v/>
      </c>
      <c r="G25" s="2">
        <f>(C25 / $J$5)^4</f>
        <v/>
      </c>
    </row>
    <row r="26">
      <c r="A26" s="7" t="inlineStr">
        <is>
          <t>2025-10-14</t>
        </is>
      </c>
      <c r="B26" s="2" t="n">
        <v>3.760017762033385e-06</v>
      </c>
      <c r="C26" s="2">
        <f>B26 - $J$3</f>
        <v/>
      </c>
      <c r="D26" s="2">
        <f>C26^2</f>
        <v/>
      </c>
      <c r="E26" s="2">
        <f>C26^3</f>
        <v/>
      </c>
      <c r="F26" s="2">
        <f>(C26 / $J$5)^3</f>
        <v/>
      </c>
      <c r="G26" s="2">
        <f>(C26 / $J$5)^4</f>
        <v/>
      </c>
    </row>
    <row r="27">
      <c r="A27" s="7" t="inlineStr">
        <is>
          <t>2025-10-16</t>
        </is>
      </c>
      <c r="B27" s="2" t="n">
        <v>0.0003332810883875</v>
      </c>
      <c r="C27" s="2">
        <f>B27 - $J$3</f>
        <v/>
      </c>
      <c r="D27" s="2">
        <f>C27^2</f>
        <v/>
      </c>
      <c r="E27" s="2">
        <f>C27^3</f>
        <v/>
      </c>
      <c r="F27" s="2">
        <f>(C27 / $J$5)^3</f>
        <v/>
      </c>
      <c r="G27" s="2">
        <f>(C27 / $J$5)^4</f>
        <v/>
      </c>
    </row>
    <row r="28">
      <c r="A28" s="7" t="inlineStr">
        <is>
          <t>2025-10-20</t>
        </is>
      </c>
      <c r="B28" s="2" t="n">
        <v>6.204007513588294e-05</v>
      </c>
      <c r="C28" s="2">
        <f>B28 - $J$3</f>
        <v/>
      </c>
      <c r="D28" s="2">
        <f>C28^2</f>
        <v/>
      </c>
      <c r="E28" s="2">
        <f>C28^3</f>
        <v/>
      </c>
      <c r="F28" s="2">
        <f>(C28 / $J$5)^3</f>
        <v/>
      </c>
      <c r="G28" s="2">
        <f>(C28 / $J$5)^4</f>
        <v/>
      </c>
    </row>
    <row r="29">
      <c r="A29" s="7" t="inlineStr">
        <is>
          <t>2025-10-22</t>
        </is>
      </c>
      <c r="B29" s="2" t="n">
        <v>-5.361419243854471e-05</v>
      </c>
      <c r="C29" s="2">
        <f>B29 - $J$3</f>
        <v/>
      </c>
      <c r="D29" s="2">
        <f>C29^2</f>
        <v/>
      </c>
      <c r="E29" s="2">
        <f>C29^3</f>
        <v/>
      </c>
      <c r="F29" s="2">
        <f>(C29 / $J$5)^3</f>
        <v/>
      </c>
      <c r="G29" s="2">
        <f>(C29 / $J$5)^4</f>
        <v/>
      </c>
    </row>
    <row r="30">
      <c r="A30" s="7" t="inlineStr">
        <is>
          <t>2025-10-23</t>
        </is>
      </c>
      <c r="B30" s="2" t="n">
        <v>-0.0001919341593747</v>
      </c>
      <c r="C30" s="2">
        <f>B30 - $J$3</f>
        <v/>
      </c>
      <c r="D30" s="2">
        <f>C30^2</f>
        <v/>
      </c>
      <c r="E30" s="2">
        <f>C30^3</f>
        <v/>
      </c>
      <c r="F30" s="2">
        <f>(C30 / $J$5)^3</f>
        <v/>
      </c>
      <c r="G30" s="2">
        <f>(C30 / $J$5)^4</f>
        <v/>
      </c>
    </row>
    <row r="31">
      <c r="A31" s="7" t="inlineStr">
        <is>
          <t>2025-10-26</t>
        </is>
      </c>
      <c r="B31" s="2" t="n">
        <v>7.86729360697791e-05</v>
      </c>
      <c r="C31" s="2">
        <f>B31 - $J$3</f>
        <v/>
      </c>
      <c r="D31" s="2">
        <f>C31^2</f>
        <v/>
      </c>
      <c r="E31" s="2">
        <f>C31^3</f>
        <v/>
      </c>
      <c r="F31" s="2">
        <f>(C31 / $J$5)^3</f>
        <v/>
      </c>
      <c r="G31" s="2">
        <f>(C31 / $J$5)^4</f>
        <v/>
      </c>
    </row>
    <row r="32">
      <c r="A32" s="7" t="inlineStr">
        <is>
          <t>2025-10-27</t>
        </is>
      </c>
      <c r="B32" s="2" t="n">
        <v>-3.155598824378103e-05</v>
      </c>
      <c r="C32" s="2">
        <f>B32 - $J$3</f>
        <v/>
      </c>
      <c r="D32" s="2">
        <f>C32^2</f>
        <v/>
      </c>
      <c r="E32" s="2">
        <f>C32^3</f>
        <v/>
      </c>
      <c r="F32" s="2">
        <f>(C32 / $J$5)^3</f>
        <v/>
      </c>
      <c r="G32" s="2">
        <f>(C32 / $J$5)^4</f>
        <v/>
      </c>
    </row>
    <row r="33">
      <c r="A33" s="7" t="inlineStr">
        <is>
          <t>2025-10-28</t>
        </is>
      </c>
      <c r="B33" s="2" t="n">
        <v>0.0001393995044054</v>
      </c>
      <c r="C33" s="2">
        <f>B33 - $J$3</f>
        <v/>
      </c>
      <c r="D33" s="2">
        <f>C33^2</f>
        <v/>
      </c>
      <c r="E33" s="2">
        <f>C33^3</f>
        <v/>
      </c>
      <c r="F33" s="2">
        <f>(C33 / $J$5)^3</f>
        <v/>
      </c>
      <c r="G33" s="2">
        <f>(C33 / $J$5)^4</f>
        <v/>
      </c>
    </row>
    <row r="34">
      <c r="A34" s="7" t="inlineStr">
        <is>
          <t>2025-10-30</t>
        </is>
      </c>
      <c r="B34" s="2" t="n">
        <v>9.546414366923273e-05</v>
      </c>
      <c r="C34" s="2">
        <f>B34 - $J$3</f>
        <v/>
      </c>
      <c r="D34" s="2">
        <f>C34^2</f>
        <v/>
      </c>
      <c r="E34" s="2">
        <f>C34^3</f>
        <v/>
      </c>
      <c r="F34" s="2">
        <f>(C34 / $J$5)^3</f>
        <v/>
      </c>
      <c r="G34" s="2">
        <f>(C34 / $J$5)^4</f>
        <v/>
      </c>
    </row>
    <row r="35">
      <c r="A35" s="7" t="inlineStr">
        <is>
          <t>2025-10-31</t>
        </is>
      </c>
      <c r="B35" s="2" t="n">
        <v>-0.0006750325555913</v>
      </c>
      <c r="C35" s="2">
        <f>B35 - $J$3</f>
        <v/>
      </c>
      <c r="D35" s="2">
        <f>C35^2</f>
        <v/>
      </c>
      <c r="E35" s="2">
        <f>C35^3</f>
        <v/>
      </c>
      <c r="F35" s="2">
        <f>(C35 / $J$5)^3</f>
        <v/>
      </c>
      <c r="G35" s="2">
        <f>(C35 / $J$5)^4</f>
        <v/>
      </c>
    </row>
    <row r="36">
      <c r="A36" s="7" t="inlineStr">
        <is>
          <t>2025-11-01</t>
        </is>
      </c>
      <c r="B36" s="2" t="n">
        <v>-0.0001918827038025</v>
      </c>
      <c r="C36" s="2">
        <f>B36 - $J$3</f>
        <v/>
      </c>
      <c r="D36" s="2">
        <f>C36^2</f>
        <v/>
      </c>
      <c r="E36" s="2">
        <f>C36^3</f>
        <v/>
      </c>
      <c r="F36" s="2">
        <f>(C36 / $J$5)^3</f>
        <v/>
      </c>
      <c r="G36" s="2">
        <f>(C36 / $J$5)^4</f>
        <v/>
      </c>
    </row>
    <row r="37">
      <c r="A37" s="7" t="inlineStr">
        <is>
          <t>2025-11-02</t>
        </is>
      </c>
      <c r="B37" s="2" t="n">
        <v>-2.043706899712561e-06</v>
      </c>
      <c r="C37" s="2">
        <f>B37 - $J$3</f>
        <v/>
      </c>
      <c r="D37" s="2">
        <f>C37^2</f>
        <v/>
      </c>
      <c r="E37" s="2">
        <f>C37^3</f>
        <v/>
      </c>
      <c r="F37" s="2">
        <f>(C37 / $J$5)^3</f>
        <v/>
      </c>
      <c r="G37" s="2">
        <f>(C37 / $J$5)^4</f>
        <v/>
      </c>
    </row>
    <row r="38">
      <c r="A38" s="7" t="inlineStr">
        <is>
          <t>2025-11-03</t>
        </is>
      </c>
      <c r="B38" s="2" t="n">
        <v>0.0002978887059725</v>
      </c>
      <c r="C38" s="2">
        <f>B38 - $J$3</f>
        <v/>
      </c>
      <c r="D38" s="2">
        <f>C38^2</f>
        <v/>
      </c>
      <c r="E38" s="2">
        <f>C38^3</f>
        <v/>
      </c>
      <c r="F38" s="2">
        <f>(C38 / $J$5)^3</f>
        <v/>
      </c>
      <c r="G38" s="2">
        <f>(C38 / $J$5)^4</f>
        <v/>
      </c>
    </row>
    <row r="39">
      <c r="A39" s="7" t="inlineStr">
        <is>
          <t>2025-11-04</t>
        </is>
      </c>
      <c r="B39" s="2" t="n">
        <v>-2.416161441942677e-05</v>
      </c>
      <c r="C39" s="2">
        <f>B39 - $J$3</f>
        <v/>
      </c>
      <c r="D39" s="2">
        <f>C39^2</f>
        <v/>
      </c>
      <c r="E39" s="2">
        <f>C39^3</f>
        <v/>
      </c>
      <c r="F39" s="2">
        <f>(C39 / $J$5)^3</f>
        <v/>
      </c>
      <c r="G39" s="2">
        <f>(C39 / $J$5)^4</f>
        <v/>
      </c>
    </row>
    <row r="40">
      <c r="A40" s="7" t="inlineStr">
        <is>
          <t>2025-11-05</t>
        </is>
      </c>
      <c r="B40" s="2" t="n">
        <v>0.0001663612492848</v>
      </c>
      <c r="C40" s="2">
        <f>B40 - $J$3</f>
        <v/>
      </c>
      <c r="D40" s="2">
        <f>C40^2</f>
        <v/>
      </c>
      <c r="E40" s="2">
        <f>C40^3</f>
        <v/>
      </c>
      <c r="F40" s="2">
        <f>(C40 / $J$5)^3</f>
        <v/>
      </c>
      <c r="G40" s="2">
        <f>(C40 / $J$5)^4</f>
        <v/>
      </c>
    </row>
    <row r="41">
      <c r="A41" s="7" t="inlineStr">
        <is>
          <t>2025-11-06</t>
        </is>
      </c>
      <c r="B41" s="2" t="n">
        <v>-0.0002643957850523</v>
      </c>
      <c r="C41" s="2">
        <f>B41 - $J$3</f>
        <v/>
      </c>
      <c r="D41" s="2">
        <f>C41^2</f>
        <v/>
      </c>
      <c r="E41" s="2">
        <f>C41^3</f>
        <v/>
      </c>
      <c r="F41" s="2">
        <f>(C41 / $J$5)^3</f>
        <v/>
      </c>
      <c r="G41" s="2">
        <f>(C41 / $J$5)^4</f>
        <v/>
      </c>
    </row>
    <row r="42">
      <c r="A42" s="7" t="inlineStr">
        <is>
          <t>2025-11-07</t>
        </is>
      </c>
      <c r="B42" s="2" t="n">
        <v>-8.48918134579435e-05</v>
      </c>
      <c r="C42" s="2">
        <f>B42 - $J$3</f>
        <v/>
      </c>
      <c r="D42" s="2">
        <f>C42^2</f>
        <v/>
      </c>
      <c r="E42" s="2">
        <f>C42^3</f>
        <v/>
      </c>
      <c r="F42" s="2">
        <f>(C42 / $J$5)^3</f>
        <v/>
      </c>
      <c r="G42" s="2">
        <f>(C42 / $J$5)^4</f>
        <v/>
      </c>
    </row>
    <row r="43">
      <c r="A43" s="7" t="inlineStr">
        <is>
          <t>2025-11-08</t>
        </is>
      </c>
      <c r="B43" s="2" t="n">
        <v>0.0004662513092625</v>
      </c>
      <c r="C43" s="2">
        <f>B43 - $J$3</f>
        <v/>
      </c>
      <c r="D43" s="2">
        <f>C43^2</f>
        <v/>
      </c>
      <c r="E43" s="2">
        <f>C43^3</f>
        <v/>
      </c>
      <c r="F43" s="2">
        <f>(C43 / $J$5)^3</f>
        <v/>
      </c>
      <c r="G43" s="2">
        <f>(C43 / $J$5)^4</f>
        <v/>
      </c>
    </row>
    <row r="44">
      <c r="A44" s="7" t="inlineStr">
        <is>
          <t>2025-11-12</t>
        </is>
      </c>
      <c r="B44" s="2" t="n">
        <v>-8.403781248489395e-05</v>
      </c>
      <c r="C44" s="2">
        <f>B44 - $J$3</f>
        <v/>
      </c>
      <c r="D44" s="2">
        <f>C44^2</f>
        <v/>
      </c>
      <c r="E44" s="2">
        <f>C44^3</f>
        <v/>
      </c>
      <c r="F44" s="2">
        <f>(C44 / $J$5)^3</f>
        <v/>
      </c>
      <c r="G44" s="2">
        <f>(C44 / $J$5)^4</f>
        <v/>
      </c>
    </row>
    <row r="45">
      <c r="A45" s="7" t="inlineStr">
        <is>
          <t>2025-11-14</t>
        </is>
      </c>
      <c r="B45" s="2" t="n">
        <v>0.0001605934667168</v>
      </c>
      <c r="C45" s="2">
        <f>B45 - $J$3</f>
        <v/>
      </c>
      <c r="D45" s="2">
        <f>C45^2</f>
        <v/>
      </c>
      <c r="E45" s="2">
        <f>C45^3</f>
        <v/>
      </c>
      <c r="F45" s="2">
        <f>(C45 / $J$5)^3</f>
        <v/>
      </c>
      <c r="G45" s="2">
        <f>(C45 / $J$5)^4</f>
        <v/>
      </c>
    </row>
    <row r="46">
      <c r="A46" s="7" t="inlineStr">
        <is>
          <t>2025-11-19</t>
        </is>
      </c>
      <c r="B46" s="2" t="n">
        <v>-7.720834400970489e-05</v>
      </c>
      <c r="C46" s="2">
        <f>B46 - $J$3</f>
        <v/>
      </c>
      <c r="D46" s="2">
        <f>C46^2</f>
        <v/>
      </c>
      <c r="E46" s="2">
        <f>C46^3</f>
        <v/>
      </c>
      <c r="F46" s="2">
        <f>(C46 / $J$5)^3</f>
        <v/>
      </c>
      <c r="G46" s="2">
        <f>(C46 / $J$5)^4</f>
        <v/>
      </c>
    </row>
    <row r="47">
      <c r="A47" s="7" t="inlineStr">
        <is>
          <t>2025-11-20</t>
        </is>
      </c>
      <c r="B47" s="2" t="n">
        <v>0.0002060805854853</v>
      </c>
      <c r="C47" s="2">
        <f>B47 - $J$3</f>
        <v/>
      </c>
      <c r="D47" s="2">
        <f>C47^2</f>
        <v/>
      </c>
      <c r="E47" s="2">
        <f>C47^3</f>
        <v/>
      </c>
      <c r="F47" s="2">
        <f>(C47 / $J$5)^3</f>
        <v/>
      </c>
      <c r="G47" s="2">
        <f>(C47 / $J$5)^4</f>
        <v/>
      </c>
    </row>
    <row r="48">
      <c r="A48" s="7" t="inlineStr">
        <is>
          <t>2025-11-25</t>
        </is>
      </c>
      <c r="B48" s="2" t="n">
        <v>-0.0004167561419308</v>
      </c>
      <c r="C48" s="2">
        <f>B48 - $J$3</f>
        <v/>
      </c>
      <c r="D48" s="2">
        <f>C48^2</f>
        <v/>
      </c>
      <c r="E48" s="2">
        <f>C48^3</f>
        <v/>
      </c>
      <c r="F48" s="2">
        <f>(C48 / $J$5)^3</f>
        <v/>
      </c>
      <c r="G48" s="2">
        <f>(C48 / $J$5)^4</f>
        <v/>
      </c>
    </row>
    <row r="49">
      <c r="A49" s="7" t="inlineStr">
        <is>
          <t>2025-11-27</t>
        </is>
      </c>
      <c r="B49" s="2" t="n">
        <v>0.0001494695898145</v>
      </c>
      <c r="C49" s="2">
        <f>B49 - $J$3</f>
        <v/>
      </c>
      <c r="D49" s="2">
        <f>C49^2</f>
        <v/>
      </c>
      <c r="E49" s="2">
        <f>C49^3</f>
        <v/>
      </c>
      <c r="F49" s="2">
        <f>(C49 / $J$5)^3</f>
        <v/>
      </c>
      <c r="G49" s="2">
        <f>(C49 / $J$5)^4</f>
        <v/>
      </c>
    </row>
    <row r="50">
      <c r="A50" s="7" t="inlineStr">
        <is>
          <t>2025-11-28</t>
        </is>
      </c>
      <c r="B50" s="2" t="n">
        <v>5.207500362303108e-05</v>
      </c>
      <c r="C50" s="2">
        <f>B50 - $J$3</f>
        <v/>
      </c>
      <c r="D50" s="2">
        <f>C50^2</f>
        <v/>
      </c>
      <c r="E50" s="2">
        <f>C50^3</f>
        <v/>
      </c>
      <c r="F50" s="2">
        <f>(C50 / $J$5)^3</f>
        <v/>
      </c>
      <c r="G50" s="2">
        <f>(C50 / $J$5)^4</f>
        <v/>
      </c>
    </row>
    <row r="51">
      <c r="A51" s="7" t="inlineStr">
        <is>
          <t>2025-12-11</t>
        </is>
      </c>
      <c r="B51" s="2" t="n">
        <v>0.0002259876782773</v>
      </c>
      <c r="C51" s="2">
        <f>B51 - $J$3</f>
        <v/>
      </c>
      <c r="D51" s="2">
        <f>C51^2</f>
        <v/>
      </c>
      <c r="E51" s="2">
        <f>C51^3</f>
        <v/>
      </c>
      <c r="F51" s="2">
        <f>(C51 / $J$5)^3</f>
        <v/>
      </c>
      <c r="G51" s="2">
        <f>(C51 / $J$5)^4</f>
        <v/>
      </c>
    </row>
    <row r="52">
      <c r="A52" s="7" t="inlineStr">
        <is>
          <t>2025-12-12</t>
        </is>
      </c>
      <c r="B52" s="2" t="n">
        <v>-0.0001232692156918</v>
      </c>
      <c r="C52" s="2">
        <f>B52 - $J$3</f>
        <v/>
      </c>
      <c r="D52" s="2">
        <f>C52^2</f>
        <v/>
      </c>
      <c r="E52" s="2">
        <f>C52^3</f>
        <v/>
      </c>
      <c r="F52" s="2">
        <f>(C52 / $J$5)^3</f>
        <v/>
      </c>
      <c r="G52" s="2">
        <f>(C52 / $J$5)^4</f>
        <v/>
      </c>
    </row>
    <row r="53">
      <c r="A53" s="7" t="inlineStr">
        <is>
          <t>2025-12-15</t>
        </is>
      </c>
      <c r="B53" s="2" t="n">
        <v>-0.0003210699360352</v>
      </c>
      <c r="C53" s="2">
        <f>B53 - $J$3</f>
        <v/>
      </c>
      <c r="D53" s="2">
        <f>C53^2</f>
        <v/>
      </c>
      <c r="E53" s="2">
        <f>C53^3</f>
        <v/>
      </c>
      <c r="F53" s="2">
        <f>(C53 / $J$5)^3</f>
        <v/>
      </c>
      <c r="G53" s="2">
        <f>(C53 / $J$5)^4</f>
        <v/>
      </c>
    </row>
    <row r="54">
      <c r="A54" s="7" t="inlineStr">
        <is>
          <t>2025-12-16</t>
        </is>
      </c>
      <c r="B54" s="2" t="n">
        <v>0.0001070061625796</v>
      </c>
      <c r="C54" s="2">
        <f>B54 - $J$3</f>
        <v/>
      </c>
      <c r="D54" s="2">
        <f>C54^2</f>
        <v/>
      </c>
      <c r="E54" s="2">
        <f>C54^3</f>
        <v/>
      </c>
      <c r="F54" s="2">
        <f>(C54 / $J$5)^3</f>
        <v/>
      </c>
      <c r="G54" s="2">
        <f>(C54 / $J$5)^4</f>
        <v/>
      </c>
    </row>
    <row r="55">
      <c r="A55" s="7" t="inlineStr">
        <is>
          <t>2025-12-18</t>
        </is>
      </c>
      <c r="B55" s="2" t="n">
        <v>6.983344064792618e-05</v>
      </c>
      <c r="C55" s="2">
        <f>B55 - $J$3</f>
        <v/>
      </c>
      <c r="D55" s="2">
        <f>C55^2</f>
        <v/>
      </c>
      <c r="E55" s="2">
        <f>C55^3</f>
        <v/>
      </c>
      <c r="F55" s="2">
        <f>(C55 / $J$5)^3</f>
        <v/>
      </c>
      <c r="G55" s="2">
        <f>(C55 / $J$5)^4</f>
        <v/>
      </c>
    </row>
    <row r="56">
      <c r="A56" s="7" t="inlineStr">
        <is>
          <t>2025-12-26</t>
        </is>
      </c>
      <c r="B56" s="2" t="n">
        <v>-0.0001447905960958</v>
      </c>
      <c r="C56" s="2">
        <f>B56 - $J$3</f>
        <v/>
      </c>
      <c r="D56" s="2">
        <f>C56^2</f>
        <v/>
      </c>
      <c r="E56" s="2">
        <f>C56^3</f>
        <v/>
      </c>
      <c r="F56" s="2">
        <f>(C56 / $J$5)^3</f>
        <v/>
      </c>
      <c r="G56" s="2">
        <f>(C56 / $J$5)^4</f>
        <v/>
      </c>
    </row>
    <row r="57">
      <c r="A57" s="7" t="inlineStr">
        <is>
          <t>2025-12-31</t>
        </is>
      </c>
      <c r="B57" s="2" t="n">
        <v>0.0001463036169297</v>
      </c>
      <c r="C57" s="2">
        <f>B57 - $J$3</f>
        <v/>
      </c>
      <c r="D57" s="2">
        <f>C57^2</f>
        <v/>
      </c>
      <c r="E57" s="2">
        <f>C57^3</f>
        <v/>
      </c>
      <c r="F57" s="2">
        <f>(C57 / $J$5)^3</f>
        <v/>
      </c>
      <c r="G57" s="2">
        <f>(C57 / $J$5)^4</f>
        <v/>
      </c>
    </row>
    <row r="58">
      <c r="A58" s="7" t="inlineStr">
        <is>
          <t>2026-01-01</t>
        </is>
      </c>
      <c r="B58" s="2" t="n">
        <v>0.0003069941303692</v>
      </c>
      <c r="C58" s="2">
        <f>B58 - $J$3</f>
        <v/>
      </c>
      <c r="D58" s="2">
        <f>C58^2</f>
        <v/>
      </c>
      <c r="E58" s="2">
        <f>C58^3</f>
        <v/>
      </c>
      <c r="F58" s="2">
        <f>(C58 / $J$5)^3</f>
        <v/>
      </c>
      <c r="G58" s="2">
        <f>(C58 / $J$5)^4</f>
        <v/>
      </c>
    </row>
    <row r="59">
      <c r="A59" s="7" t="inlineStr">
        <is>
          <t>2026-01-15</t>
        </is>
      </c>
      <c r="B59" s="2" t="n">
        <v>0.0004517658380791</v>
      </c>
      <c r="C59" s="2">
        <f>B59 - $J$3</f>
        <v/>
      </c>
      <c r="D59" s="2">
        <f>C59^2</f>
        <v/>
      </c>
      <c r="E59" s="2">
        <f>C59^3</f>
        <v/>
      </c>
      <c r="F59" s="2">
        <f>(C59 / $J$5)^3</f>
        <v/>
      </c>
      <c r="G59" s="2">
        <f>(C59 / $J$5)^4</f>
        <v/>
      </c>
    </row>
    <row r="60">
      <c r="A60" s="7" t="inlineStr">
        <is>
          <t>2026-01-17</t>
        </is>
      </c>
      <c r="B60" s="2" t="n">
        <v>2.134178066626191e-05</v>
      </c>
      <c r="C60" s="2">
        <f>B60 - $J$3</f>
        <v/>
      </c>
      <c r="D60" s="2">
        <f>C60^2</f>
        <v/>
      </c>
      <c r="E60" s="2">
        <f>C60^3</f>
        <v/>
      </c>
      <c r="F60" s="2">
        <f>(C60 / $J$5)^3</f>
        <v/>
      </c>
      <c r="G60" s="2">
        <f>(C60 / $J$5)^4</f>
        <v/>
      </c>
    </row>
    <row r="61">
      <c r="A61" s="7" t="inlineStr">
        <is>
          <t>2026-01-20</t>
        </is>
      </c>
      <c r="B61" s="2" t="n">
        <v>-0.000314266042551</v>
      </c>
      <c r="C61" s="2">
        <f>B61 - $J$3</f>
        <v/>
      </c>
      <c r="D61" s="2">
        <f>C61^2</f>
        <v/>
      </c>
      <c r="E61" s="2">
        <f>C61^3</f>
        <v/>
      </c>
      <c r="F61" s="2">
        <f>(C61 / $J$5)^3</f>
        <v/>
      </c>
      <c r="G61" s="2">
        <f>(C61 / $J$5)^4</f>
        <v/>
      </c>
    </row>
    <row r="62">
      <c r="A62" s="7" t="inlineStr">
        <is>
          <t>2026-01-24</t>
        </is>
      </c>
      <c r="B62" s="2" t="n">
        <v>-4.92181206936948e-05</v>
      </c>
      <c r="C62" s="2">
        <f>B62 - $J$3</f>
        <v/>
      </c>
      <c r="D62" s="2">
        <f>C62^2</f>
        <v/>
      </c>
      <c r="E62" s="2">
        <f>C62^3</f>
        <v/>
      </c>
      <c r="F62" s="2">
        <f>(C62 / $J$5)^3</f>
        <v/>
      </c>
      <c r="G62" s="2">
        <f>(C62 / $J$5)^4</f>
        <v/>
      </c>
    </row>
    <row r="63">
      <c r="A63" s="7" t="inlineStr">
        <is>
          <t>2026-01-26</t>
        </is>
      </c>
      <c r="B63" s="2" t="n">
        <v>-6.839371053501964e-06</v>
      </c>
      <c r="C63" s="2">
        <f>B63 - $J$3</f>
        <v/>
      </c>
      <c r="D63" s="2">
        <f>C63^2</f>
        <v/>
      </c>
      <c r="E63" s="2">
        <f>C63^3</f>
        <v/>
      </c>
      <c r="F63" s="2">
        <f>(C63 / $J$5)^3</f>
        <v/>
      </c>
      <c r="G63" s="2">
        <f>(C63 / $J$5)^4</f>
        <v/>
      </c>
    </row>
    <row r="64">
      <c r="A64" s="7" t="inlineStr">
        <is>
          <t>2026-01-28</t>
        </is>
      </c>
      <c r="B64" s="2" t="n">
        <v>-0.0001060181966749</v>
      </c>
      <c r="C64" s="2">
        <f>B64 - $J$3</f>
        <v/>
      </c>
      <c r="D64" s="2">
        <f>C64^2</f>
        <v/>
      </c>
      <c r="E64" s="2">
        <f>C64^3</f>
        <v/>
      </c>
      <c r="F64" s="2">
        <f>(C64 / $J$5)^3</f>
        <v/>
      </c>
      <c r="G64" s="2">
        <f>(C64 / $J$5)^4</f>
        <v/>
      </c>
    </row>
    <row r="65">
      <c r="A65" s="7" t="inlineStr">
        <is>
          <t>2026-01-31</t>
        </is>
      </c>
      <c r="B65" s="2" t="n">
        <v>3.387861943338066e-05</v>
      </c>
      <c r="C65" s="2">
        <f>B65 - $J$3</f>
        <v/>
      </c>
      <c r="D65" s="2">
        <f>C65^2</f>
        <v/>
      </c>
      <c r="E65" s="2">
        <f>C65^3</f>
        <v/>
      </c>
      <c r="F65" s="2">
        <f>(C65 / $J$5)^3</f>
        <v/>
      </c>
      <c r="G65" s="2">
        <f>(C65 / $J$5)^4</f>
        <v/>
      </c>
    </row>
    <row r="66">
      <c r="A66" s="7" t="inlineStr">
        <is>
          <t>2026-02-01</t>
        </is>
      </c>
      <c r="B66" s="2" t="n">
        <v>9.72249690676108e-05</v>
      </c>
      <c r="C66" s="2">
        <f>B66 - $J$3</f>
        <v/>
      </c>
      <c r="D66" s="2">
        <f>C66^2</f>
        <v/>
      </c>
      <c r="E66" s="2">
        <f>C66^3</f>
        <v/>
      </c>
      <c r="F66" s="2">
        <f>(C66 / $J$5)^3</f>
        <v/>
      </c>
      <c r="G66" s="2">
        <f>(C66 / $J$5)^4</f>
        <v/>
      </c>
    </row>
    <row r="67">
      <c r="A67" s="7" t="inlineStr">
        <is>
          <t>2026-02-03</t>
        </is>
      </c>
      <c r="B67" s="2" t="n">
        <v>0.000238247186644</v>
      </c>
      <c r="C67" s="2">
        <f>B67 - $J$3</f>
        <v/>
      </c>
      <c r="D67" s="2">
        <f>C67^2</f>
        <v/>
      </c>
      <c r="E67" s="2">
        <f>C67^3</f>
        <v/>
      </c>
      <c r="F67" s="2">
        <f>(C67 / $J$5)^3</f>
        <v/>
      </c>
      <c r="G67" s="2">
        <f>(C67 / $J$5)^4</f>
        <v/>
      </c>
    </row>
    <row r="68">
      <c r="A68" s="7" t="inlineStr">
        <is>
          <t>2026-02-13</t>
        </is>
      </c>
      <c r="B68" s="2" t="n">
        <v>-0.000214551546378</v>
      </c>
      <c r="C68" s="2">
        <f>B68 - $J$3</f>
        <v/>
      </c>
      <c r="D68" s="2">
        <f>C68^2</f>
        <v/>
      </c>
      <c r="E68" s="2">
        <f>C68^3</f>
        <v/>
      </c>
      <c r="F68" s="2">
        <f>(C68 / $J$5)^3</f>
        <v/>
      </c>
      <c r="G68" s="2">
        <f>(C68 / $J$5)^4</f>
        <v/>
      </c>
    </row>
    <row r="69">
      <c r="A69" s="7" t="inlineStr">
        <is>
          <t>2026-02-19</t>
        </is>
      </c>
      <c r="B69" s="2" t="n">
        <v>4.535910557024181e-05</v>
      </c>
      <c r="C69" s="2">
        <f>B69 - $J$3</f>
        <v/>
      </c>
      <c r="D69" s="2">
        <f>C69^2</f>
        <v/>
      </c>
      <c r="E69" s="2">
        <f>C69^3</f>
        <v/>
      </c>
      <c r="F69" s="2">
        <f>(C69 / $J$5)^3</f>
        <v/>
      </c>
      <c r="G69" s="2">
        <f>(C69 / $J$5)^4</f>
        <v/>
      </c>
    </row>
    <row r="70">
      <c r="A70" s="7" t="inlineStr">
        <is>
          <t>2026-02-21</t>
        </is>
      </c>
      <c r="B70" s="2" t="n">
        <v>0.0001215896045323</v>
      </c>
      <c r="C70" s="2">
        <f>B70 - $J$3</f>
        <v/>
      </c>
      <c r="D70" s="2">
        <f>C70^2</f>
        <v/>
      </c>
      <c r="E70" s="2">
        <f>C70^3</f>
        <v/>
      </c>
      <c r="F70" s="2">
        <f>(C70 / $J$5)^3</f>
        <v/>
      </c>
      <c r="G70" s="2">
        <f>(C70 / $J$5)^4</f>
        <v/>
      </c>
    </row>
    <row r="71">
      <c r="A71" s="7" t="inlineStr">
        <is>
          <t>2026-02-22</t>
        </is>
      </c>
      <c r="B71" s="2" t="n">
        <v>0.0001720408763503</v>
      </c>
      <c r="C71" s="2">
        <f>B71 - $J$3</f>
        <v/>
      </c>
      <c r="D71" s="2">
        <f>C71^2</f>
        <v/>
      </c>
      <c r="E71" s="2">
        <f>C71^3</f>
        <v/>
      </c>
      <c r="F71" s="2">
        <f>(C71 / $J$5)^3</f>
        <v/>
      </c>
      <c r="G71" s="2">
        <f>(C71 / $J$5)^4</f>
        <v/>
      </c>
    </row>
    <row r="72">
      <c r="A72" s="7" t="inlineStr">
        <is>
          <t>2026-02-26</t>
        </is>
      </c>
      <c r="B72" s="2" t="n">
        <v>-0.0001163029737654</v>
      </c>
      <c r="C72" s="2">
        <f>B72 - $J$3</f>
        <v/>
      </c>
      <c r="D72" s="2">
        <f>C72^2</f>
        <v/>
      </c>
      <c r="E72" s="2">
        <f>C72^3</f>
        <v/>
      </c>
      <c r="F72" s="2">
        <f>(C72 / $J$5)^3</f>
        <v/>
      </c>
      <c r="G72" s="2">
        <f>(C72 / $J$5)^4</f>
        <v/>
      </c>
    </row>
    <row r="73">
      <c r="A73" s="7" t="inlineStr">
        <is>
          <t>2026-03-01</t>
        </is>
      </c>
      <c r="B73" s="2" t="n">
        <v>-8.905218419386074e-05</v>
      </c>
      <c r="C73" s="2">
        <f>B73 - $J$3</f>
        <v/>
      </c>
      <c r="D73" s="2">
        <f>C73^2</f>
        <v/>
      </c>
      <c r="E73" s="2">
        <f>C73^3</f>
        <v/>
      </c>
      <c r="F73" s="2">
        <f>(C73 / $J$5)^3</f>
        <v/>
      </c>
      <c r="G73" s="2">
        <f>(C73 / $J$5)^4</f>
        <v/>
      </c>
    </row>
    <row r="74">
      <c r="A74" s="7" t="inlineStr">
        <is>
          <t>2026-03-03</t>
        </is>
      </c>
      <c r="B74" s="2" t="n">
        <v>-0.0002808264107443</v>
      </c>
      <c r="C74" s="2">
        <f>B74 - $J$3</f>
        <v/>
      </c>
      <c r="D74" s="2">
        <f>C74^2</f>
        <v/>
      </c>
      <c r="E74" s="2">
        <f>C74^3</f>
        <v/>
      </c>
      <c r="F74" s="2">
        <f>(C74 / $J$5)^3</f>
        <v/>
      </c>
      <c r="G74" s="2">
        <f>(C74 / $J$5)^4</f>
        <v/>
      </c>
    </row>
    <row r="75">
      <c r="A75" s="7" t="inlineStr">
        <is>
          <t>2026-03-04</t>
        </is>
      </c>
      <c r="B75" s="2" t="n">
        <v>-0.0002824214752763</v>
      </c>
      <c r="C75" s="2">
        <f>B75 - $J$3</f>
        <v/>
      </c>
      <c r="D75" s="2">
        <f>C75^2</f>
        <v/>
      </c>
      <c r="E75" s="2">
        <f>C75^3</f>
        <v/>
      </c>
      <c r="F75" s="2">
        <f>(C75 / $J$5)^3</f>
        <v/>
      </c>
      <c r="G75" s="2">
        <f>(C75 / $J$5)^4</f>
        <v/>
      </c>
    </row>
    <row r="76">
      <c r="A76" s="7" t="inlineStr">
        <is>
          <t>2026-03-06</t>
        </is>
      </c>
      <c r="B76" s="2" t="n">
        <v>-3.424909300520085e-05</v>
      </c>
      <c r="C76" s="2">
        <f>B76 - $J$3</f>
        <v/>
      </c>
      <c r="D76" s="2">
        <f>C76^2</f>
        <v/>
      </c>
      <c r="E76" s="2">
        <f>C76^3</f>
        <v/>
      </c>
      <c r="F76" s="2">
        <f>(C76 / $J$5)^3</f>
        <v/>
      </c>
      <c r="G76" s="2">
        <f>(C76 / $J$5)^4</f>
        <v/>
      </c>
    </row>
    <row r="77">
      <c r="A77" s="7" t="inlineStr">
        <is>
          <t>2026-03-18</t>
        </is>
      </c>
      <c r="B77" s="2" t="n">
        <v>0.000414362468291</v>
      </c>
      <c r="C77" s="2">
        <f>B77 - $J$3</f>
        <v/>
      </c>
      <c r="D77" s="2">
        <f>C77^2</f>
        <v/>
      </c>
      <c r="E77" s="2">
        <f>C77^3</f>
        <v/>
      </c>
      <c r="F77" s="2">
        <f>(C77 / $J$5)^3</f>
        <v/>
      </c>
      <c r="G77" s="2">
        <f>(C77 / $J$5)^4</f>
        <v/>
      </c>
    </row>
    <row r="78">
      <c r="A78" s="7" t="inlineStr">
        <is>
          <t>2026-03-19</t>
        </is>
      </c>
      <c r="B78" s="2" t="n">
        <v>-3.261883102823049e-05</v>
      </c>
      <c r="C78" s="2">
        <f>B78 - $J$3</f>
        <v/>
      </c>
      <c r="D78" s="2">
        <f>C78^2</f>
        <v/>
      </c>
      <c r="E78" s="2">
        <f>C78^3</f>
        <v/>
      </c>
      <c r="F78" s="2">
        <f>(C78 / $J$5)^3</f>
        <v/>
      </c>
      <c r="G78" s="2">
        <f>(C78 / $J$5)^4</f>
        <v/>
      </c>
    </row>
    <row r="79">
      <c r="A79" s="7" t="inlineStr">
        <is>
          <t>2026-03-20</t>
        </is>
      </c>
      <c r="B79" s="2" t="n">
        <v>0.0003323190030641</v>
      </c>
      <c r="C79" s="2">
        <f>B79 - $J$3</f>
        <v/>
      </c>
      <c r="D79" s="2">
        <f>C79^2</f>
        <v/>
      </c>
      <c r="E79" s="2">
        <f>C79^3</f>
        <v/>
      </c>
      <c r="F79" s="2">
        <f>(C79 / $J$5)^3</f>
        <v/>
      </c>
      <c r="G79" s="2">
        <f>(C79 / $J$5)^4</f>
        <v/>
      </c>
    </row>
    <row r="80">
      <c r="A80" s="7" t="inlineStr">
        <is>
          <t>2026-03-21</t>
        </is>
      </c>
      <c r="B80" s="2" t="n">
        <v>0.0003421654691919</v>
      </c>
      <c r="C80" s="2">
        <f>B80 - $J$3</f>
        <v/>
      </c>
      <c r="D80" s="2">
        <f>C80^2</f>
        <v/>
      </c>
      <c r="E80" s="2">
        <f>C80^3</f>
        <v/>
      </c>
      <c r="F80" s="2">
        <f>(C80 / $J$5)^3</f>
        <v/>
      </c>
      <c r="G80" s="2">
        <f>(C80 / $J$5)^4</f>
        <v/>
      </c>
    </row>
    <row r="81">
      <c r="A81" s="7" t="inlineStr">
        <is>
          <t>2026-03-22</t>
        </is>
      </c>
      <c r="B81" s="2" t="n">
        <v>9.222113294526936e-05</v>
      </c>
      <c r="C81" s="2">
        <f>B81 - $J$3</f>
        <v/>
      </c>
      <c r="D81" s="2">
        <f>C81^2</f>
        <v/>
      </c>
      <c r="E81" s="2">
        <f>C81^3</f>
        <v/>
      </c>
      <c r="F81" s="2">
        <f>(C81 / $J$5)^3</f>
        <v/>
      </c>
      <c r="G81" s="2">
        <f>(C81 / $J$5)^4</f>
        <v/>
      </c>
    </row>
    <row r="82">
      <c r="A82" s="7" t="inlineStr">
        <is>
          <t>2026-03-24</t>
        </is>
      </c>
      <c r="B82" s="2" t="n">
        <v>6.885213952045888e-05</v>
      </c>
      <c r="C82" s="2">
        <f>B82 - $J$3</f>
        <v/>
      </c>
      <c r="D82" s="2">
        <f>C82^2</f>
        <v/>
      </c>
      <c r="E82" s="2">
        <f>C82^3</f>
        <v/>
      </c>
      <c r="F82" s="2">
        <f>(C82 / $J$5)^3</f>
        <v/>
      </c>
      <c r="G82" s="2">
        <f>(C82 / $J$5)^4</f>
        <v/>
      </c>
    </row>
    <row r="83">
      <c r="A83" s="7" t="inlineStr">
        <is>
          <t>2026-03-31</t>
        </is>
      </c>
      <c r="B83" s="2" t="n">
        <v>-2.943012304967852e-06</v>
      </c>
      <c r="C83" s="2">
        <f>B83 - $J$3</f>
        <v/>
      </c>
      <c r="D83" s="2">
        <f>C83^2</f>
        <v/>
      </c>
      <c r="E83" s="2">
        <f>C83^3</f>
        <v/>
      </c>
      <c r="F83" s="2">
        <f>(C83 / $J$5)^3</f>
        <v/>
      </c>
      <c r="G83" s="2">
        <f>(C83 / $J$5)^4</f>
        <v/>
      </c>
    </row>
    <row r="84">
      <c r="A84" s="7" t="inlineStr">
        <is>
          <t>2026-04-01</t>
        </is>
      </c>
      <c r="B84" s="2" t="n">
        <v>7.586932770209387e-05</v>
      </c>
      <c r="C84" s="2">
        <f>B84 - $J$3</f>
        <v/>
      </c>
      <c r="D84" s="2">
        <f>C84^2</f>
        <v/>
      </c>
      <c r="E84" s="2">
        <f>C84^3</f>
        <v/>
      </c>
      <c r="F84" s="2">
        <f>(C84 / $J$5)^3</f>
        <v/>
      </c>
      <c r="G84" s="2">
        <f>(C84 / $J$5)^4</f>
        <v/>
      </c>
    </row>
    <row r="85">
      <c r="A85" s="7" t="inlineStr">
        <is>
          <t>2026-04-03</t>
        </is>
      </c>
      <c r="B85" s="2" t="n">
        <v>0.0007409738609567001</v>
      </c>
      <c r="C85" s="2">
        <f>B85 - $J$3</f>
        <v/>
      </c>
      <c r="D85" s="2">
        <f>C85^2</f>
        <v/>
      </c>
      <c r="E85" s="2">
        <f>C85^3</f>
        <v/>
      </c>
      <c r="F85" s="2">
        <f>(C85 / $J$5)^3</f>
        <v/>
      </c>
      <c r="G85" s="2">
        <f>(C85 / $J$5)^4</f>
        <v/>
      </c>
    </row>
    <row r="86">
      <c r="A86" s="7" t="inlineStr">
        <is>
          <t>2026-04-04</t>
        </is>
      </c>
      <c r="B86" s="2" t="n">
        <v>0.0002994676469825</v>
      </c>
      <c r="C86" s="2">
        <f>B86 - $J$3</f>
        <v/>
      </c>
      <c r="D86" s="2">
        <f>C86^2</f>
        <v/>
      </c>
      <c r="E86" s="2">
        <f>C86^3</f>
        <v/>
      </c>
      <c r="F86" s="2">
        <f>(C86 / $J$5)^3</f>
        <v/>
      </c>
      <c r="G86" s="2">
        <f>(C86 / $J$5)^4</f>
        <v/>
      </c>
    </row>
    <row r="87">
      <c r="A87" s="7" t="inlineStr">
        <is>
          <t>2026-04-07</t>
        </is>
      </c>
      <c r="B87" s="2" t="n">
        <v>-0.0001277476985706</v>
      </c>
      <c r="C87" s="2">
        <f>B87 - $J$3</f>
        <v/>
      </c>
      <c r="D87" s="2">
        <f>C87^2</f>
        <v/>
      </c>
      <c r="E87" s="2">
        <f>C87^3</f>
        <v/>
      </c>
      <c r="F87" s="2">
        <f>(C87 / $J$5)^3</f>
        <v/>
      </c>
      <c r="G87" s="2">
        <f>(C87 / $J$5)^4</f>
        <v/>
      </c>
    </row>
    <row r="88">
      <c r="A88" s="7" t="inlineStr">
        <is>
          <t>2026-04-08</t>
        </is>
      </c>
      <c r="B88" s="2" t="n">
        <v>-2.138641320925672e-06</v>
      </c>
      <c r="C88" s="2">
        <f>B88 - $J$3</f>
        <v/>
      </c>
      <c r="D88" s="2">
        <f>C88^2</f>
        <v/>
      </c>
      <c r="E88" s="2">
        <f>C88^3</f>
        <v/>
      </c>
      <c r="F88" s="2">
        <f>(C88 / $J$5)^3</f>
        <v/>
      </c>
      <c r="G88" s="2">
        <f>(C88 / $J$5)^4</f>
        <v/>
      </c>
    </row>
    <row r="89">
      <c r="A89" s="7" t="inlineStr">
        <is>
          <t>2026-04-10</t>
        </is>
      </c>
      <c r="B89" s="2" t="n">
        <v>7.511991134379059e-05</v>
      </c>
      <c r="C89" s="2">
        <f>B89 - $J$3</f>
        <v/>
      </c>
      <c r="D89" s="2">
        <f>C89^2</f>
        <v/>
      </c>
      <c r="E89" s="2">
        <f>C89^3</f>
        <v/>
      </c>
      <c r="F89" s="2">
        <f>(C89 / $J$5)^3</f>
        <v/>
      </c>
      <c r="G89" s="2">
        <f>(C89 / $J$5)^4</f>
        <v/>
      </c>
    </row>
    <row r="90">
      <c r="A90" s="7" t="inlineStr">
        <is>
          <t>2026-04-20</t>
        </is>
      </c>
      <c r="B90" s="2" t="n">
        <v>0.0004797332221642</v>
      </c>
      <c r="C90" s="2">
        <f>B90 - $J$3</f>
        <v/>
      </c>
      <c r="D90" s="2">
        <f>C90^2</f>
        <v/>
      </c>
      <c r="E90" s="2">
        <f>C90^3</f>
        <v/>
      </c>
      <c r="F90" s="2">
        <f>(C90 / $J$5)^3</f>
        <v/>
      </c>
      <c r="G90" s="2">
        <f>(C90 / $J$5)^4</f>
        <v/>
      </c>
    </row>
    <row r="91">
      <c r="A91" s="7" t="inlineStr">
        <is>
          <t>2026-04-30</t>
        </is>
      </c>
      <c r="B91" s="2" t="n">
        <v>1.822345438995398e-05</v>
      </c>
      <c r="C91" s="2">
        <f>B91 - $J$3</f>
        <v/>
      </c>
      <c r="D91" s="2">
        <f>C91^2</f>
        <v/>
      </c>
      <c r="E91" s="2">
        <f>C91^3</f>
        <v/>
      </c>
      <c r="F91" s="2">
        <f>(C91 / $J$5)^3</f>
        <v/>
      </c>
      <c r="G91" s="2">
        <f>(C91 / $J$5)^4</f>
        <v/>
      </c>
    </row>
    <row r="92">
      <c r="A92" s="7" t="inlineStr">
        <is>
          <t>2026-05-02</t>
        </is>
      </c>
      <c r="B92" s="2" t="n">
        <v>1.958311986527406e-05</v>
      </c>
      <c r="C92" s="2">
        <f>B92 - $J$3</f>
        <v/>
      </c>
      <c r="D92" s="2">
        <f>C92^2</f>
        <v/>
      </c>
      <c r="E92" s="2">
        <f>C92^3</f>
        <v/>
      </c>
      <c r="F92" s="2">
        <f>(C92 / $J$5)^3</f>
        <v/>
      </c>
      <c r="G92" s="2">
        <f>(C92 / $J$5)^4</f>
        <v/>
      </c>
    </row>
    <row r="93">
      <c r="A93" s="7" t="inlineStr">
        <is>
          <t>2026-05-04</t>
        </is>
      </c>
      <c r="B93" s="2" t="n">
        <v>0.0001462897344026</v>
      </c>
      <c r="C93" s="2">
        <f>B93 - $J$3</f>
        <v/>
      </c>
      <c r="D93" s="2">
        <f>C93^2</f>
        <v/>
      </c>
      <c r="E93" s="2">
        <f>C93^3</f>
        <v/>
      </c>
      <c r="F93" s="2">
        <f>(C93 / $J$5)^3</f>
        <v/>
      </c>
      <c r="G93" s="2">
        <f>(C93 / $J$5)^4</f>
        <v/>
      </c>
    </row>
    <row r="94">
      <c r="A94" s="7" t="inlineStr">
        <is>
          <t>2026-05-20</t>
        </is>
      </c>
      <c r="B94" s="2" t="n">
        <v>-0.000151719461428</v>
      </c>
      <c r="C94" s="2">
        <f>B94 - $J$3</f>
        <v/>
      </c>
      <c r="D94" s="2">
        <f>C94^2</f>
        <v/>
      </c>
      <c r="E94" s="2">
        <f>C94^3</f>
        <v/>
      </c>
      <c r="F94" s="2">
        <f>(C94 / $J$5)^3</f>
        <v/>
      </c>
      <c r="G94" s="2">
        <f>(C94 / $J$5)^4</f>
        <v/>
      </c>
    </row>
    <row r="95">
      <c r="A95" s="7" t="inlineStr">
        <is>
          <t>2026-05-24</t>
        </is>
      </c>
      <c r="B95" s="2" t="n">
        <v>0.000146543214214</v>
      </c>
      <c r="C95" s="2">
        <f>B95 - $J$3</f>
        <v/>
      </c>
      <c r="D95" s="2">
        <f>C95^2</f>
        <v/>
      </c>
      <c r="E95" s="2">
        <f>C95^3</f>
        <v/>
      </c>
      <c r="F95" s="2">
        <f>(C95 / $J$5)^3</f>
        <v/>
      </c>
      <c r="G95" s="2">
        <f>(C95 / $J$5)^4</f>
        <v/>
      </c>
    </row>
    <row r="96">
      <c r="A96" s="7" t="inlineStr">
        <is>
          <t>2026-05-31</t>
        </is>
      </c>
      <c r="B96" s="2" t="n">
        <v>0.000148198523675</v>
      </c>
      <c r="C96" s="2">
        <f>B96 - $J$3</f>
        <v/>
      </c>
      <c r="D96" s="2">
        <f>C96^2</f>
        <v/>
      </c>
      <c r="E96" s="2">
        <f>C96^3</f>
        <v/>
      </c>
      <c r="F96" s="2">
        <f>(C96 / $J$5)^3</f>
        <v/>
      </c>
      <c r="G96" s="2">
        <f>(C96 / $J$5)^4</f>
        <v/>
      </c>
    </row>
    <row r="97">
      <c r="A97" s="7" t="inlineStr">
        <is>
          <t>2026-06-11</t>
        </is>
      </c>
      <c r="B97" s="2" t="n">
        <v>-2.989162203448359e-05</v>
      </c>
      <c r="C97" s="2">
        <f>B97 - $J$3</f>
        <v/>
      </c>
      <c r="D97" s="2">
        <f>C97^2</f>
        <v/>
      </c>
      <c r="E97" s="2">
        <f>C97^3</f>
        <v/>
      </c>
      <c r="F97" s="2">
        <f>(C97 / $J$5)^3</f>
        <v/>
      </c>
      <c r="G97" s="2">
        <f>(C97 / $J$5)^4</f>
        <v/>
      </c>
    </row>
    <row r="98">
      <c r="A98" s="7" t="inlineStr">
        <is>
          <t>2026-06-12</t>
        </is>
      </c>
      <c r="B98" s="2" t="n">
        <v>-0.0001211131457239</v>
      </c>
      <c r="C98" s="2">
        <f>B98 - $J$3</f>
        <v/>
      </c>
      <c r="D98" s="2">
        <f>C98^2</f>
        <v/>
      </c>
      <c r="E98" s="2">
        <f>C98^3</f>
        <v/>
      </c>
      <c r="F98" s="2">
        <f>(C98 / $J$5)^3</f>
        <v/>
      </c>
      <c r="G98" s="2">
        <f>(C98 / $J$5)^4</f>
        <v/>
      </c>
    </row>
    <row r="99">
      <c r="A99" s="7" t="inlineStr">
        <is>
          <t>2026-06-17</t>
        </is>
      </c>
      <c r="B99" s="2" t="n">
        <v>-0.000509874545969</v>
      </c>
      <c r="C99" s="2">
        <f>B99 - $J$3</f>
        <v/>
      </c>
      <c r="D99" s="2">
        <f>C99^2</f>
        <v/>
      </c>
      <c r="E99" s="2">
        <f>C99^3</f>
        <v/>
      </c>
      <c r="F99" s="2">
        <f>(C99 / $J$5)^3</f>
        <v/>
      </c>
      <c r="G99" s="2">
        <f>(C99 / $J$5)^4</f>
        <v/>
      </c>
    </row>
    <row r="100">
      <c r="A100" s="7" t="inlineStr">
        <is>
          <t>2026-06-20</t>
        </is>
      </c>
      <c r="B100" s="2" t="n">
        <v>-4.176240690867417e-05</v>
      </c>
      <c r="C100" s="2">
        <f>B100 - $J$3</f>
        <v/>
      </c>
      <c r="D100" s="2">
        <f>C100^2</f>
        <v/>
      </c>
      <c r="E100" s="2">
        <f>C100^3</f>
        <v/>
      </c>
      <c r="F100" s="2">
        <f>(C100 / $J$5)^3</f>
        <v/>
      </c>
      <c r="G100" s="2">
        <f>(C100 / $J$5)^4</f>
        <v/>
      </c>
    </row>
    <row r="101">
      <c r="A101" s="7" t="inlineStr">
        <is>
          <t>2026-06-21</t>
        </is>
      </c>
      <c r="B101" s="2" t="n">
        <v>-0.0002380621881457</v>
      </c>
      <c r="C101" s="2">
        <f>B101 - $J$3</f>
        <v/>
      </c>
      <c r="D101" s="2">
        <f>C101^2</f>
        <v/>
      </c>
      <c r="E101" s="2">
        <f>C101^3</f>
        <v/>
      </c>
      <c r="F101" s="2">
        <f>(C101 / $J$5)^3</f>
        <v/>
      </c>
      <c r="G101" s="2">
        <f>(C101 / $J$5)^4</f>
        <v/>
      </c>
    </row>
    <row r="102">
      <c r="A102" s="7" t="inlineStr">
        <is>
          <t>2026-06-25</t>
        </is>
      </c>
      <c r="B102" s="2" t="n">
        <v>0.0003616472531575</v>
      </c>
      <c r="C102" s="2">
        <f>B102 - $J$3</f>
        <v/>
      </c>
      <c r="D102" s="2">
        <f>C102^2</f>
        <v/>
      </c>
      <c r="E102" s="2">
        <f>C102^3</f>
        <v/>
      </c>
      <c r="F102" s="2">
        <f>(C102 / $J$5)^3</f>
        <v/>
      </c>
      <c r="G102" s="2">
        <f>(C102 / $J$5)^4</f>
        <v/>
      </c>
    </row>
    <row r="103">
      <c r="A103" s="7" t="inlineStr">
        <is>
          <t>2026-06-26</t>
        </is>
      </c>
      <c r="B103" s="2" t="n">
        <v>-2.02272003662074e-05</v>
      </c>
      <c r="C103" s="2">
        <f>B103 - $J$3</f>
        <v/>
      </c>
      <c r="D103" s="2">
        <f>C103^2</f>
        <v/>
      </c>
      <c r="E103" s="2">
        <f>C103^3</f>
        <v/>
      </c>
      <c r="F103" s="2">
        <f>(C103 / $J$5)^3</f>
        <v/>
      </c>
      <c r="G103" s="2">
        <f>(C103 / $J$5)^4</f>
        <v/>
      </c>
    </row>
    <row r="104">
      <c r="A104" s="7" t="inlineStr">
        <is>
          <t>2026-06-27</t>
        </is>
      </c>
      <c r="B104" s="2" t="n">
        <v>-2.370444963162299e-05</v>
      </c>
      <c r="C104" s="2">
        <f>B104 - $J$3</f>
        <v/>
      </c>
      <c r="D104" s="2">
        <f>C104^2</f>
        <v/>
      </c>
      <c r="E104" s="2">
        <f>C104^3</f>
        <v/>
      </c>
      <c r="F104" s="2">
        <f>(C104 / $J$5)^3</f>
        <v/>
      </c>
      <c r="G104" s="2">
        <f>(C104 / $J$5)^4</f>
        <v/>
      </c>
    </row>
    <row r="105">
      <c r="A105" s="7" t="inlineStr">
        <is>
          <t>2026-07-01</t>
        </is>
      </c>
      <c r="B105" s="2" t="n">
        <v>-1.678360422374681e-05</v>
      </c>
      <c r="C105" s="2">
        <f>B105 - $J$3</f>
        <v/>
      </c>
      <c r="D105" s="2">
        <f>C105^2</f>
        <v/>
      </c>
      <c r="E105" s="2">
        <f>C105^3</f>
        <v/>
      </c>
      <c r="F105" s="2">
        <f>(C105 / $J$5)^3</f>
        <v/>
      </c>
      <c r="G105" s="2">
        <f>(C105 / $J$5)^4</f>
        <v/>
      </c>
    </row>
    <row r="106">
      <c r="A106" s="7" t="inlineStr">
        <is>
          <t>2026-07-02</t>
        </is>
      </c>
      <c r="B106" s="2" t="n">
        <v>0.0002233822306152</v>
      </c>
      <c r="C106" s="2">
        <f>B106 - $J$3</f>
        <v/>
      </c>
      <c r="D106" s="2">
        <f>C106^2</f>
        <v/>
      </c>
      <c r="E106" s="2">
        <f>C106^3</f>
        <v/>
      </c>
      <c r="F106" s="2">
        <f>(C106 / $J$5)^3</f>
        <v/>
      </c>
      <c r="G106" s="2">
        <f>(C106 / $J$5)^4</f>
        <v/>
      </c>
    </row>
    <row r="107">
      <c r="A107" s="7" t="inlineStr">
        <is>
          <t>2026-07-03</t>
        </is>
      </c>
      <c r="B107" s="2" t="n">
        <v>-9.835510718403384e-05</v>
      </c>
      <c r="C107" s="2">
        <f>B107 - $J$3</f>
        <v/>
      </c>
      <c r="D107" s="2">
        <f>C107^2</f>
        <v/>
      </c>
      <c r="E107" s="2">
        <f>C107^3</f>
        <v/>
      </c>
      <c r="F107" s="2">
        <f>(C107 / $J$5)^3</f>
        <v/>
      </c>
      <c r="G107" s="2">
        <f>(C107 / $J$5)^4</f>
        <v/>
      </c>
    </row>
    <row r="108">
      <c r="A108" s="7" t="inlineStr">
        <is>
          <t>2026-07-04</t>
        </is>
      </c>
      <c r="B108" s="2" t="n">
        <v>-0.0001048891426762</v>
      </c>
      <c r="C108" s="2">
        <f>B108 - $J$3</f>
        <v/>
      </c>
      <c r="D108" s="2">
        <f>C108^2</f>
        <v/>
      </c>
      <c r="E108" s="2">
        <f>C108^3</f>
        <v/>
      </c>
      <c r="F108" s="2">
        <f>(C108 / $J$5)^3</f>
        <v/>
      </c>
      <c r="G108" s="2">
        <f>(C108 / $J$5)^4</f>
        <v/>
      </c>
    </row>
    <row r="109">
      <c r="A109" s="7" t="inlineStr">
        <is>
          <t>2026-07-05</t>
        </is>
      </c>
      <c r="B109" s="2" t="n">
        <v>2.166816557291895e-05</v>
      </c>
      <c r="C109" s="2">
        <f>B109 - $J$3</f>
        <v/>
      </c>
      <c r="D109" s="2">
        <f>C109^2</f>
        <v/>
      </c>
      <c r="E109" s="2">
        <f>C109^3</f>
        <v/>
      </c>
      <c r="F109" s="2">
        <f>(C109 / $J$5)^3</f>
        <v/>
      </c>
      <c r="G109" s="2">
        <f>(C109 / $J$5)^4</f>
        <v/>
      </c>
    </row>
    <row r="110">
      <c r="A110" s="7" t="inlineStr">
        <is>
          <t>2026-07-06</t>
        </is>
      </c>
      <c r="B110" s="2" t="n">
        <v>6.600816413993016e-05</v>
      </c>
      <c r="C110" s="2">
        <f>B110 - $J$3</f>
        <v/>
      </c>
      <c r="D110" s="2">
        <f>C110^2</f>
        <v/>
      </c>
      <c r="E110" s="2">
        <f>C110^3</f>
        <v/>
      </c>
      <c r="F110" s="2">
        <f>(C110 / $J$5)^3</f>
        <v/>
      </c>
      <c r="G110" s="2">
        <f>(C110 / $J$5)^4</f>
        <v/>
      </c>
    </row>
    <row r="111">
      <c r="A111" s="7" t="inlineStr">
        <is>
          <t>2026-07-11</t>
        </is>
      </c>
      <c r="B111" s="2" t="n">
        <v>0.0001222918217536</v>
      </c>
      <c r="C111" s="2">
        <f>B111 - $J$3</f>
        <v/>
      </c>
      <c r="D111" s="2">
        <f>C111^2</f>
        <v/>
      </c>
      <c r="E111" s="2">
        <f>C111^3</f>
        <v/>
      </c>
      <c r="F111" s="2">
        <f>(C111 / $J$5)^3</f>
        <v/>
      </c>
      <c r="G111" s="2">
        <f>(C111 / $J$5)^4</f>
        <v/>
      </c>
    </row>
    <row r="112">
      <c r="A112" s="7" t="inlineStr">
        <is>
          <t>2026-07-12</t>
        </is>
      </c>
      <c r="B112" s="2" t="n">
        <v>-0.0001030007988447</v>
      </c>
      <c r="C112" s="2">
        <f>B112 - $J$3</f>
        <v/>
      </c>
      <c r="D112" s="2">
        <f>C112^2</f>
        <v/>
      </c>
      <c r="E112" s="2">
        <f>C112^3</f>
        <v/>
      </c>
      <c r="F112" s="2">
        <f>(C112 / $J$5)^3</f>
        <v/>
      </c>
      <c r="G112" s="2">
        <f>(C112 / $J$5)^4</f>
        <v/>
      </c>
    </row>
    <row r="113">
      <c r="A113" s="7" t="inlineStr">
        <is>
          <t>2026-07-13</t>
        </is>
      </c>
      <c r="B113" s="2" t="n">
        <v>4.643206193577498e-05</v>
      </c>
      <c r="C113" s="2">
        <f>B113 - $J$3</f>
        <v/>
      </c>
      <c r="D113" s="2">
        <f>C113^2</f>
        <v/>
      </c>
      <c r="E113" s="2">
        <f>C113^3</f>
        <v/>
      </c>
      <c r="F113" s="2">
        <f>(C113 / $J$5)^3</f>
        <v/>
      </c>
      <c r="G113" s="2">
        <f>(C113 / $J$5)^4</f>
        <v/>
      </c>
    </row>
    <row r="114">
      <c r="A114" s="7" t="inlineStr">
        <is>
          <t>2026-07-14</t>
        </is>
      </c>
      <c r="B114" s="2" t="n">
        <v>0.0001732400414766</v>
      </c>
      <c r="C114" s="2">
        <f>B114 - $J$3</f>
        <v/>
      </c>
      <c r="D114" s="2">
        <f>C114^2</f>
        <v/>
      </c>
      <c r="E114" s="2">
        <f>C114^3</f>
        <v/>
      </c>
      <c r="F114" s="2">
        <f>(C114 / $J$5)^3</f>
        <v/>
      </c>
      <c r="G114" s="2">
        <f>(C114 / $J$5)^4</f>
        <v/>
      </c>
    </row>
    <row r="115">
      <c r="A115" s="7" t="inlineStr">
        <is>
          <t>2026-07-15</t>
        </is>
      </c>
      <c r="B115" s="2" t="n">
        <v>-0.0004126226413063</v>
      </c>
      <c r="C115" s="2">
        <f>B115 - $J$3</f>
        <v/>
      </c>
      <c r="D115" s="2">
        <f>C115^2</f>
        <v/>
      </c>
      <c r="E115" s="2">
        <f>C115^3</f>
        <v/>
      </c>
      <c r="F115" s="2">
        <f>(C115 / $J$5)^3</f>
        <v/>
      </c>
      <c r="G115" s="2">
        <f>(C115 / $J$5)^4</f>
        <v/>
      </c>
    </row>
    <row r="116">
      <c r="A116" s="7" t="inlineStr">
        <is>
          <t>2026-07-16</t>
        </is>
      </c>
      <c r="B116" s="2" t="n">
        <v>3.590701089706272e-05</v>
      </c>
      <c r="C116" s="2">
        <f>B116 - $J$3</f>
        <v/>
      </c>
      <c r="D116" s="2">
        <f>C116^2</f>
        <v/>
      </c>
      <c r="E116" s="2">
        <f>C116^3</f>
        <v/>
      </c>
      <c r="F116" s="2">
        <f>(C116 / $J$5)^3</f>
        <v/>
      </c>
      <c r="G116" s="2">
        <f>(C116 / $J$5)^4</f>
        <v/>
      </c>
    </row>
    <row r="117">
      <c r="A117" s="7" t="inlineStr">
        <is>
          <t>2026-07-17</t>
        </is>
      </c>
      <c r="B117" s="2" t="n">
        <v>-1.581885953783058e-05</v>
      </c>
      <c r="C117" s="2">
        <f>B117 - $J$3</f>
        <v/>
      </c>
      <c r="D117" s="2">
        <f>C117^2</f>
        <v/>
      </c>
      <c r="E117" s="2">
        <f>C117^3</f>
        <v/>
      </c>
      <c r="F117" s="2">
        <f>(C117 / $J$5)^3</f>
        <v/>
      </c>
      <c r="G117" s="2">
        <f>(C117 / $J$5)^4</f>
        <v/>
      </c>
    </row>
    <row r="118">
      <c r="A118" s="7" t="inlineStr">
        <is>
          <t>2026-07-19</t>
        </is>
      </c>
      <c r="B118" s="2" t="n">
        <v>3.233923416701145e-05</v>
      </c>
      <c r="C118" s="2">
        <f>B118 - $J$3</f>
        <v/>
      </c>
      <c r="D118" s="2">
        <f>C118^2</f>
        <v/>
      </c>
      <c r="E118" s="2">
        <f>C118^3</f>
        <v/>
      </c>
      <c r="F118" s="2">
        <f>(C118 / $J$5)^3</f>
        <v/>
      </c>
      <c r="G118" s="2">
        <f>(C118 / $J$5)^4</f>
        <v/>
      </c>
    </row>
    <row r="119">
      <c r="A119" s="7" t="inlineStr">
        <is>
          <t>2026-07-21</t>
        </is>
      </c>
      <c r="B119" s="2" t="n">
        <v>-6.405304156942293e-05</v>
      </c>
      <c r="C119" s="2">
        <f>B119 - $J$3</f>
        <v/>
      </c>
      <c r="D119" s="2">
        <f>C119^2</f>
        <v/>
      </c>
      <c r="E119" s="2">
        <f>C119^3</f>
        <v/>
      </c>
      <c r="F119" s="2">
        <f>(C119 / $J$5)^3</f>
        <v/>
      </c>
      <c r="G119" s="2">
        <f>(C119 / $J$5)^4</f>
        <v/>
      </c>
    </row>
    <row r="120">
      <c r="A120" s="7" t="inlineStr">
        <is>
          <t>2026-07-27</t>
        </is>
      </c>
      <c r="B120" s="2" t="n">
        <v>-6.375253724399954e-05</v>
      </c>
      <c r="C120" s="2">
        <f>B120 - $J$3</f>
        <v/>
      </c>
      <c r="D120" s="2">
        <f>C120^2</f>
        <v/>
      </c>
      <c r="E120" s="2">
        <f>C120^3</f>
        <v/>
      </c>
      <c r="F120" s="2">
        <f>(C120 / $J$5)^3</f>
        <v/>
      </c>
      <c r="G120" s="2">
        <f>(C120 / $J$5)^4</f>
        <v/>
      </c>
    </row>
    <row r="121">
      <c r="A121" s="7" t="inlineStr">
        <is>
          <t>2026-08-02</t>
        </is>
      </c>
      <c r="B121" s="2" t="n">
        <v>-0.0001602505508344</v>
      </c>
      <c r="C121" s="2">
        <f>B121 - $J$3</f>
        <v/>
      </c>
      <c r="D121" s="2">
        <f>C121^2</f>
        <v/>
      </c>
      <c r="E121" s="2">
        <f>C121^3</f>
        <v/>
      </c>
      <c r="F121" s="2">
        <f>(C121 / $J$5)^3</f>
        <v/>
      </c>
      <c r="G121" s="2">
        <f>(C121 / $J$5)^4</f>
        <v/>
      </c>
    </row>
    <row r="122">
      <c r="A122" s="7" t="inlineStr">
        <is>
          <t>2026-08-03</t>
        </is>
      </c>
      <c r="B122" s="2" t="n">
        <v>0.0002166906924685</v>
      </c>
      <c r="C122" s="2">
        <f>B122 - $J$3</f>
        <v/>
      </c>
      <c r="D122" s="2">
        <f>C122^2</f>
        <v/>
      </c>
      <c r="E122" s="2">
        <f>C122^3</f>
        <v/>
      </c>
      <c r="F122" s="2">
        <f>(C122 / $J$5)^3</f>
        <v/>
      </c>
      <c r="G122" s="2">
        <f>(C122 / $J$5)^4</f>
        <v/>
      </c>
    </row>
    <row r="123">
      <c r="A123" s="7" t="inlineStr">
        <is>
          <t>2026-08-07</t>
        </is>
      </c>
      <c r="B123" s="2" t="n">
        <v>0.0002958401164505</v>
      </c>
      <c r="C123" s="2">
        <f>B123 - $J$3</f>
        <v/>
      </c>
      <c r="D123" s="2">
        <f>C123^2</f>
        <v/>
      </c>
      <c r="E123" s="2">
        <f>C123^3</f>
        <v/>
      </c>
      <c r="F123" s="2">
        <f>(C123 / $J$5)^3</f>
        <v/>
      </c>
      <c r="G123" s="2">
        <f>(C123 / $J$5)^4</f>
        <v/>
      </c>
    </row>
    <row r="124">
      <c r="A124" s="7" t="inlineStr">
        <is>
          <t>2026-08-10</t>
        </is>
      </c>
      <c r="B124" s="2" t="n">
        <v>-0.0002525427553337</v>
      </c>
      <c r="C124" s="2">
        <f>B124 - $J$3</f>
        <v/>
      </c>
      <c r="D124" s="2">
        <f>C124^2</f>
        <v/>
      </c>
      <c r="E124" s="2">
        <f>C124^3</f>
        <v/>
      </c>
      <c r="F124" s="2">
        <f>(C124 / $J$5)^3</f>
        <v/>
      </c>
      <c r="G124" s="2">
        <f>(C124 / $J$5)^4</f>
        <v/>
      </c>
    </row>
    <row r="125">
      <c r="A125" s="7" t="inlineStr">
        <is>
          <t>2026-08-11</t>
        </is>
      </c>
      <c r="B125" s="2" t="n">
        <v>-0.0001691500510787</v>
      </c>
      <c r="C125" s="2">
        <f>B125 - $J$3</f>
        <v/>
      </c>
      <c r="D125" s="2">
        <f>C125^2</f>
        <v/>
      </c>
      <c r="E125" s="2">
        <f>C125^3</f>
        <v/>
      </c>
      <c r="F125" s="2">
        <f>(C125 / $J$5)^3</f>
        <v/>
      </c>
      <c r="G125" s="2">
        <f>(C125 / $J$5)^4</f>
        <v/>
      </c>
    </row>
    <row r="126">
      <c r="A126" s="7" t="inlineStr">
        <is>
          <t>2026-08-12</t>
        </is>
      </c>
      <c r="B126" s="2" t="n">
        <v>0.0001814681163523</v>
      </c>
      <c r="C126" s="2">
        <f>B126 - $J$3</f>
        <v/>
      </c>
      <c r="D126" s="2">
        <f>C126^2</f>
        <v/>
      </c>
      <c r="E126" s="2">
        <f>C126^3</f>
        <v/>
      </c>
      <c r="F126" s="2">
        <f>(C126 / $J$5)^3</f>
        <v/>
      </c>
      <c r="G126" s="2">
        <f>(C126 / $J$5)^4</f>
        <v/>
      </c>
    </row>
    <row r="127">
      <c r="A127" s="7" t="inlineStr">
        <is>
          <t>2026-08-13</t>
        </is>
      </c>
      <c r="B127" s="2" t="n">
        <v>0.000264616595814</v>
      </c>
      <c r="C127" s="2">
        <f>B127 - $J$3</f>
        <v/>
      </c>
      <c r="D127" s="2">
        <f>C127^2</f>
        <v/>
      </c>
      <c r="E127" s="2">
        <f>C127^3</f>
        <v/>
      </c>
      <c r="F127" s="2">
        <f>(C127 / $J$5)^3</f>
        <v/>
      </c>
      <c r="G127" s="2">
        <f>(C127 / $J$5)^4</f>
        <v/>
      </c>
    </row>
    <row r="128">
      <c r="A128" s="7" t="inlineStr">
        <is>
          <t>2026-08-14</t>
        </is>
      </c>
      <c r="B128" s="2" t="n">
        <v>3.913254204235272e-06</v>
      </c>
      <c r="C128" s="2">
        <f>B128 - $J$3</f>
        <v/>
      </c>
      <c r="D128" s="2">
        <f>C128^2</f>
        <v/>
      </c>
      <c r="E128" s="2">
        <f>C128^3</f>
        <v/>
      </c>
      <c r="F128" s="2">
        <f>(C128 / $J$5)^3</f>
        <v/>
      </c>
      <c r="G128" s="2">
        <f>(C128 / $J$5)^4</f>
        <v/>
      </c>
    </row>
    <row r="129">
      <c r="A129" s="7" t="inlineStr">
        <is>
          <t>2026-08-17</t>
        </is>
      </c>
      <c r="B129" s="2" t="n">
        <v>-8.065217684816162e-07</v>
      </c>
      <c r="C129" s="2">
        <f>B129 - $J$3</f>
        <v/>
      </c>
      <c r="D129" s="2">
        <f>C129^2</f>
        <v/>
      </c>
      <c r="E129" s="2">
        <f>C129^3</f>
        <v/>
      </c>
      <c r="F129" s="2">
        <f>(C129 / $J$5)^3</f>
        <v/>
      </c>
      <c r="G129" s="2">
        <f>(C129 / $J$5)^4</f>
        <v/>
      </c>
    </row>
    <row r="130">
      <c r="A130" s="7" t="inlineStr">
        <is>
          <t>2026-08-19</t>
        </is>
      </c>
      <c r="B130" s="2" t="n">
        <v>9.560169928590769e-06</v>
      </c>
      <c r="C130" s="2">
        <f>B130 - $J$3</f>
        <v/>
      </c>
      <c r="D130" s="2">
        <f>C130^2</f>
        <v/>
      </c>
      <c r="E130" s="2">
        <f>C130^3</f>
        <v/>
      </c>
      <c r="F130" s="2">
        <f>(C130 / $J$5)^3</f>
        <v/>
      </c>
      <c r="G130" s="2">
        <f>(C130 / $J$5)^4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2026-09-12T20:51:51Z</dcterms:created>
  <dcterms:modified xmlns:dcterms="http://purl.org/dc/terms/" xmlns:xsi="http://www.w3.org/2001/XMLSchema-instance" xsi:type="dcterms:W3CDTF">2026-09-12T20:51:52Z</dcterms:modified>
</cp:coreProperties>
</file>